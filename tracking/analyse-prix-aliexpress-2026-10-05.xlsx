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prix" sheetId="1" state="visible" r:id="rId1"/>
    <sheet name="Résumé" sheetId="2" state="visible" r:id="rId2"/>
    <sheet name="Méthode" sheetId="3" state="visible" r:id="rId3"/>
  </sheets>
  <definedNames>
    <definedName name="_xlnm._FilterDatabase" localSheetId="0" hidden="1">'Analyse prix'!$A$1:$T$77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563C1"/>
      <u val="single"/>
    </font>
    <font>
      <b val="1"/>
      <sz val="14"/>
    </font>
    <font>
      <b val="1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rnais-chien-expert.fr/products/harnais-chien-anti-traction-tactique" TargetMode="External" Id="rId1" /><Relationship Type="http://schemas.openxmlformats.org/officeDocument/2006/relationships/hyperlink" Target="https://fr.aliexpress.com/w/wholesale-tactical-dog-harness-molle.html" TargetMode="External" Id="rId2" /><Relationship Type="http://schemas.openxmlformats.org/officeDocument/2006/relationships/hyperlink" Target="https://harnais-chien-expert.fr/products/harnais-chien-anti-traction-original" TargetMode="External" Id="rId3" /><Relationship Type="http://schemas.openxmlformats.org/officeDocument/2006/relationships/hyperlink" Target="https://fr.aliexpress.com/w/wholesale-no-pull-dog-harness-padded.html" TargetMode="External" Id="rId4" /><Relationship Type="http://schemas.openxmlformats.org/officeDocument/2006/relationships/hyperlink" Target="https://harnais-chien-expert.fr/products/harnais-chien-anti-traction-ergonomique" TargetMode="External" Id="rId5" /><Relationship Type="http://schemas.openxmlformats.org/officeDocument/2006/relationships/hyperlink" Target="https://fr.aliexpress.com/w/wholesale-no-pull-dog-harness-padded.html" TargetMode="External" Id="rId6" /><Relationship Type="http://schemas.openxmlformats.org/officeDocument/2006/relationships/hyperlink" Target="https://harnais-chien-expert.fr/products/harnais-3-points-promenade" TargetMode="External" Id="rId7" /><Relationship Type="http://schemas.openxmlformats.org/officeDocument/2006/relationships/hyperlink" Target="https://fr.aliexpress.com/w/wholesale-escape-proof-dog-harness-3-point.html" TargetMode="External" Id="rId8" /><Relationship Type="http://schemas.openxmlformats.org/officeDocument/2006/relationships/hyperlink" Target="https://harnais-chien-expert.fr/products/harnais-chien-anti-traction-airtag" TargetMode="External" Id="rId9" /><Relationship Type="http://schemas.openxmlformats.org/officeDocument/2006/relationships/hyperlink" Target="https://fr.aliexpress.com/w/wholesale-airtag-dog-harness-no-pull.html" TargetMode="External" Id="rId10" /><Relationship Type="http://schemas.openxmlformats.org/officeDocument/2006/relationships/hyperlink" Target="https://harnais-chien-expert.fr/products/harnais-chien-anti-traction-reflechissant" TargetMode="External" Id="rId11" /><Relationship Type="http://schemas.openxmlformats.org/officeDocument/2006/relationships/hyperlink" Target="https://fr.aliexpress.com/w/wholesale-reflective-no-pull-dog-harness-padded.html" TargetMode="External" Id="rId12" /><Relationship Type="http://schemas.openxmlformats.org/officeDocument/2006/relationships/hyperlink" Target="https://harnais-chien-expert.fr/products/harnais-chien-anti-traction-renforce" TargetMode="External" Id="rId13" /><Relationship Type="http://schemas.openxmlformats.org/officeDocument/2006/relationships/hyperlink" Target="https://fr.aliexpress.com/w/wholesale-no-pull-dog-harness-padded.html" TargetMode="External" Id="rId14" /><Relationship Type="http://schemas.openxmlformats.org/officeDocument/2006/relationships/hyperlink" Target="https://harnais-chien-expert.fr/products/harnais-chien-anti-traction-securite" TargetMode="External" Id="rId15" /><Relationship Type="http://schemas.openxmlformats.org/officeDocument/2006/relationships/hyperlink" Target="https://fr.aliexpress.com/w/wholesale-no-pull-dog-harness-padded.html" TargetMode="External" Id="rId16" /><Relationship Type="http://schemas.openxmlformats.org/officeDocument/2006/relationships/hyperlink" Target="https://harnais-chien-expert.fr/products/harnais-chien-anti-traction-leger" TargetMode="External" Id="rId17" /><Relationship Type="http://schemas.openxmlformats.org/officeDocument/2006/relationships/hyperlink" Target="https://fr.aliexpress.com/w/wholesale-no-pull-dog-harness-padded.html" TargetMode="External" Id="rId18" /><Relationship Type="http://schemas.openxmlformats.org/officeDocument/2006/relationships/hyperlink" Target="https://harnais-chien-expert.fr/products/harnais-chien-anti-traction-floral" TargetMode="External" Id="rId19" /><Relationship Type="http://schemas.openxmlformats.org/officeDocument/2006/relationships/hyperlink" Target="https://fr.aliexpress.com/w/wholesale-no-pull-dog-harness-padded.html" TargetMode="External" Id="rId20" /><Relationship Type="http://schemas.openxmlformats.org/officeDocument/2006/relationships/hyperlink" Target="https://harnais-chien-expert.fr/products/harnais-chien-anti-traction-rembourre" TargetMode="External" Id="rId21" /><Relationship Type="http://schemas.openxmlformats.org/officeDocument/2006/relationships/hyperlink" Target="https://fr.aliexpress.com/w/wholesale-no-pull-dog-harness-padded.html" TargetMode="External" Id="rId22" /><Relationship Type="http://schemas.openxmlformats.org/officeDocument/2006/relationships/hyperlink" Target="https://harnais-chien-expert.fr/products/harnais-chien-actif-respirant" TargetMode="External" Id="rId23" /><Relationship Type="http://schemas.openxmlformats.org/officeDocument/2006/relationships/hyperlink" Target="https://fr.aliexpress.com/w/wholesale-dog-harness.html" TargetMode="External" Id="rId24" /><Relationship Type="http://schemas.openxmlformats.org/officeDocument/2006/relationships/hyperlink" Target="https://harnais-chien-expert.fr/products/harnais-tactique-chien-entrainement" TargetMode="External" Id="rId25" /><Relationship Type="http://schemas.openxmlformats.org/officeDocument/2006/relationships/hyperlink" Target="https://fr.aliexpress.com/w/wholesale-tactical-dog-harness-molle.html" TargetMode="External" Id="rId26" /><Relationship Type="http://schemas.openxmlformats.org/officeDocument/2006/relationships/hyperlink" Target="https://harnais-chien-expert.fr/products/harnais-chiot-respirant-multicolore" TargetMode="External" Id="rId27" /><Relationship Type="http://schemas.openxmlformats.org/officeDocument/2006/relationships/hyperlink" Target="https://fr.aliexpress.com/w/wholesale-puppy-harness-mesh-breathable.html" TargetMode="External" Id="rId28" /><Relationship Type="http://schemas.openxmlformats.org/officeDocument/2006/relationships/hyperlink" Target="https://harnais-chien-expert.fr/products/harnais-chiot-maille-respirante" TargetMode="External" Id="rId29" /><Relationship Type="http://schemas.openxmlformats.org/officeDocument/2006/relationships/hyperlink" Target="https://fr.aliexpress.com/w/wholesale-puppy-harness-mesh-breathable.html" TargetMode="External" Id="rId30" /><Relationship Type="http://schemas.openxmlformats.org/officeDocument/2006/relationships/hyperlink" Target="https://harnais-chien-expert.fr/products/harnais-chiot-souple-respirant" TargetMode="External" Id="rId31" /><Relationship Type="http://schemas.openxmlformats.org/officeDocument/2006/relationships/hyperlink" Target="https://fr.aliexpress.com/w/wholesale-puppy-harness-mesh-breathable.html" TargetMode="External" Id="rId32" /><Relationship Type="http://schemas.openxmlformats.org/officeDocument/2006/relationships/hyperlink" Target="https://harnais-chien-expert.fr/products/harnais-chien-poignee-polyvalent" TargetMode="External" Id="rId33" /><Relationship Type="http://schemas.openxmlformats.org/officeDocument/2006/relationships/hyperlink" Target="https://fr.aliexpress.com/w/wholesale-dog-harness.html" TargetMode="External" Id="rId34" /><Relationship Type="http://schemas.openxmlformats.org/officeDocument/2006/relationships/hyperlink" Target="https://harnais-chien-expert.fr/products/harnais-tactique-chien-modulable" TargetMode="External" Id="rId35" /><Relationship Type="http://schemas.openxmlformats.org/officeDocument/2006/relationships/hyperlink" Target="https://fr.aliexpress.com/w/wholesale-tactical-dog-harness-molle.html" TargetMode="External" Id="rId36" /><Relationship Type="http://schemas.openxmlformats.org/officeDocument/2006/relationships/hyperlink" Target="https://harnais-chien-expert.fr/products/harnais-petit-chien-tactique-leger" TargetMode="External" Id="rId37" /><Relationship Type="http://schemas.openxmlformats.org/officeDocument/2006/relationships/hyperlink" Target="https://fr.aliexpress.com/w/wholesale-tactical-dog-harness-molle.html" TargetMode="External" Id="rId38" /><Relationship Type="http://schemas.openxmlformats.org/officeDocument/2006/relationships/hyperlink" Target="https://harnais-chien-expert.fr/products/harnais-tactique-chien-oxford" TargetMode="External" Id="rId39" /><Relationship Type="http://schemas.openxmlformats.org/officeDocument/2006/relationships/hyperlink" Target="https://fr.aliexpress.com/w/wholesale-tactical-dog-harness-molle.html" TargetMode="External" Id="rId40" /><Relationship Type="http://schemas.openxmlformats.org/officeDocument/2006/relationships/hyperlink" Target="https://harnais-chien-expert.fr/products/harnais-tactique-chien-molle" TargetMode="External" Id="rId41" /><Relationship Type="http://schemas.openxmlformats.org/officeDocument/2006/relationships/hyperlink" Target="https://fr.aliexpress.com/w/wholesale-tactical-dog-harness-molle.html" TargetMode="External" Id="rId42" /><Relationship Type="http://schemas.openxmlformats.org/officeDocument/2006/relationships/hyperlink" Target="https://harnais-chien-expert.fr/products/harnais-tactique-chien-patchs" TargetMode="External" Id="rId43" /><Relationship Type="http://schemas.openxmlformats.org/officeDocument/2006/relationships/hyperlink" Target="https://fr.aliexpress.com/w/wholesale-tactical-dog-harness-molle.html" TargetMode="External" Id="rId44" /><Relationship Type="http://schemas.openxmlformats.org/officeDocument/2006/relationships/hyperlink" Target="https://harnais-chien-expert.fr/products/harnais-tactique-chien-colore" TargetMode="External" Id="rId45" /><Relationship Type="http://schemas.openxmlformats.org/officeDocument/2006/relationships/hyperlink" Target="https://fr.aliexpress.com/w/wholesale-tactical-dog-harness-molle.html" TargetMode="External" Id="rId46" /><Relationship Type="http://schemas.openxmlformats.org/officeDocument/2006/relationships/hyperlink" Target="https://harnais-chien-expert.fr/products/harnais-tactique-chien-pochettes" TargetMode="External" Id="rId47" /><Relationship Type="http://schemas.openxmlformats.org/officeDocument/2006/relationships/hyperlink" Target="https://fr.aliexpress.com/w/wholesale-tactical-dog-harness-molle.html" TargetMode="External" Id="rId48" /><Relationship Type="http://schemas.openxmlformats.org/officeDocument/2006/relationships/hyperlink" Target="https://harnais-chien-expert.fr/products/harnais-3-points-veste" TargetMode="External" Id="rId49" /><Relationship Type="http://schemas.openxmlformats.org/officeDocument/2006/relationships/hyperlink" Target="https://fr.aliexpress.com/w/wholesale-escape-proof-dog-harness-3-point.html" TargetMode="External" Id="rId50" /><Relationship Type="http://schemas.openxmlformats.org/officeDocument/2006/relationships/hyperlink" Target="https://harnais-chien-expert.fr/products/harnais-3-points-impermeable" TargetMode="External" Id="rId51" /><Relationship Type="http://schemas.openxmlformats.org/officeDocument/2006/relationships/hyperlink" Target="https://fr.aliexpress.com/w/wholesale-escape-proof-dog-harness-3-point.html" TargetMode="External" Id="rId52" /><Relationship Type="http://schemas.openxmlformats.org/officeDocument/2006/relationships/hyperlink" Target="https://harnais-chien-expert.fr/products/harnais-chiot-veste-respirante" TargetMode="External" Id="rId53" /><Relationship Type="http://schemas.openxmlformats.org/officeDocument/2006/relationships/hyperlink" Target="https://fr.aliexpress.com/w/wholesale-puppy-harness-mesh-breathable.html" TargetMode="External" Id="rId54" /><Relationship Type="http://schemas.openxmlformats.org/officeDocument/2006/relationships/hyperlink" Target="https://harnais-chien-expert.fr/products/harnais-petit-chien-motif-respirant" TargetMode="External" Id="rId55" /><Relationship Type="http://schemas.openxmlformats.org/officeDocument/2006/relationships/hyperlink" Target="https://fr.aliexpress.com/w/wholesale-small-dog-harness-vest.html" TargetMode="External" Id="rId56" /><Relationship Type="http://schemas.openxmlformats.org/officeDocument/2006/relationships/hyperlink" Target="https://harnais-chien-expert.fr/products/harnais-chien-macaron" TargetMode="External" Id="rId57" /><Relationship Type="http://schemas.openxmlformats.org/officeDocument/2006/relationships/hyperlink" Target="https://fr.aliexpress.com/w/wholesale-small-dog-harness-vest-cute.html" TargetMode="External" Id="rId58" /><Relationship Type="http://schemas.openxmlformats.org/officeDocument/2006/relationships/hyperlink" Target="https://harnais-chien-expert.fr/products/harnais-petit-chien-chic" TargetMode="External" Id="rId59" /><Relationship Type="http://schemas.openxmlformats.org/officeDocument/2006/relationships/hyperlink" Target="https://fr.aliexpress.com/w/wholesale-small-dog-harness-vest.html" TargetMode="External" Id="rId60" /><Relationship Type="http://schemas.openxmlformats.org/officeDocument/2006/relationships/hyperlink" Target="https://harnais-chien-expert.fr/products/harnais-tactique-chien-reflechissant" TargetMode="External" Id="rId61" /><Relationship Type="http://schemas.openxmlformats.org/officeDocument/2006/relationships/hyperlink" Target="https://fr.aliexpress.com/w/wholesale-tactical-dog-harness-molle.html" TargetMode="External" Id="rId62" /><Relationship Type="http://schemas.openxmlformats.org/officeDocument/2006/relationships/hyperlink" Target="https://harnais-chien-expert.fr/products/harnais-chien-poignee-reflechissant" TargetMode="External" Id="rId63" /><Relationship Type="http://schemas.openxmlformats.org/officeDocument/2006/relationships/hyperlink" Target="https://fr.aliexpress.com/w/wholesale-reflective-no-pull-dog-harness-padded.html" TargetMode="External" Id="rId64" /><Relationship Type="http://schemas.openxmlformats.org/officeDocument/2006/relationships/hyperlink" Target="https://harnais-chien-expert.fr/products/harnais-chien-en-cuir" TargetMode="External" Id="rId65" /><Relationship Type="http://schemas.openxmlformats.org/officeDocument/2006/relationships/hyperlink" Target="https://fr.aliexpress.com/w/wholesale-leather-dog-harness.html" TargetMode="External" Id="rId66" /><Relationship Type="http://schemas.openxmlformats.org/officeDocument/2006/relationships/hyperlink" Target="https://harnais-chien-expert.fr/products/ceinture-chien-voiture-elastique" TargetMode="External" Id="rId67" /><Relationship Type="http://schemas.openxmlformats.org/officeDocument/2006/relationships/hyperlink" Target="https://fr.aliexpress.com/w/wholesale-dog-car-seat-belt.html" TargetMode="External" Id="rId68" /><Relationship Type="http://schemas.openxmlformats.org/officeDocument/2006/relationships/hyperlink" Target="https://harnais-chien-expert.fr/products/harnais-petit-chien-selle-ajustable" TargetMode="External" Id="rId69" /><Relationship Type="http://schemas.openxmlformats.org/officeDocument/2006/relationships/hyperlink" Target="https://fr.aliexpress.com/w/wholesale-small-dog-harness-vest.html" TargetMode="External" Id="rId70" /><Relationship Type="http://schemas.openxmlformats.org/officeDocument/2006/relationships/hyperlink" Target="https://harnais-chien-expert.fr/products/attache-chien-voiture-appuie-tete" TargetMode="External" Id="rId71" /><Relationship Type="http://schemas.openxmlformats.org/officeDocument/2006/relationships/hyperlink" Target="https://fr.aliexpress.com/w/wholesale-dog-car-headrest-seat-belt.html" TargetMode="External" Id="rId72" /><Relationship Type="http://schemas.openxmlformats.org/officeDocument/2006/relationships/hyperlink" Target="https://harnais-chien-expert.fr/products/ceinture-chien-voiture-2-en-1" TargetMode="External" Id="rId73" /><Relationship Type="http://schemas.openxmlformats.org/officeDocument/2006/relationships/hyperlink" Target="https://fr.aliexpress.com/w/wholesale-dog-car-seat-belt.html" TargetMode="External" Id="rId74" /><Relationship Type="http://schemas.openxmlformats.org/officeDocument/2006/relationships/hyperlink" Target="https://harnais-chien-expert.fr/products/harnais-petit-chien-confortable" TargetMode="External" Id="rId75" /><Relationship Type="http://schemas.openxmlformats.org/officeDocument/2006/relationships/hyperlink" Target="https://fr.aliexpress.com/w/wholesale-small-dog-harness-vest.html" TargetMode="External" Id="rId76" /><Relationship Type="http://schemas.openxmlformats.org/officeDocument/2006/relationships/hyperlink" Target="https://harnais-chien-expert.fr/products/harnais-chiot-classique-ajustable" TargetMode="External" Id="rId77" /><Relationship Type="http://schemas.openxmlformats.org/officeDocument/2006/relationships/hyperlink" Target="https://fr.aliexpress.com/w/wholesale-puppy-harness-mesh-breathable.html" TargetMode="External" Id="rId78" /><Relationship Type="http://schemas.openxmlformats.org/officeDocument/2006/relationships/hyperlink" Target="https://harnais-chien-expert.fr/products/sangle-chien-handicape-arriere" TargetMode="External" Id="rId79" /><Relationship Type="http://schemas.openxmlformats.org/officeDocument/2006/relationships/hyperlink" Target="https://fr.aliexpress.com/w/wholesale-dog-rear-lift-support-harness.html" TargetMode="External" Id="rId80" /><Relationship Type="http://schemas.openxmlformats.org/officeDocument/2006/relationships/hyperlink" Target="https://harnais-chien-expert.fr/products/harnais-randonnee-sacoche-vert" TargetMode="External" Id="rId81" /><Relationship Type="http://schemas.openxmlformats.org/officeDocument/2006/relationships/hyperlink" Target="https://fr.aliexpress.com/w/wholesale-dog-backpack-harness-saddle-bag-hiking.html" TargetMode="External" Id="rId82" /><Relationship Type="http://schemas.openxmlformats.org/officeDocument/2006/relationships/hyperlink" Target="https://harnais-chien-expert.fr/products/harnais-randonnee-sacoche-noir" TargetMode="External" Id="rId83" /><Relationship Type="http://schemas.openxmlformats.org/officeDocument/2006/relationships/hyperlink" Target="https://fr.aliexpress.com/w/wholesale-dog-backpack-harness-saddle-bag-hiking.html" TargetMode="External" Id="rId84" /><Relationship Type="http://schemas.openxmlformats.org/officeDocument/2006/relationships/hyperlink" Target="https://harnais-chien-expert.fr/products/harnais-randonnee-sacoche-camouflage" TargetMode="External" Id="rId85" /><Relationship Type="http://schemas.openxmlformats.org/officeDocument/2006/relationships/hyperlink" Target="https://fr.aliexpress.com/w/wholesale-dog-backpack-harness-saddle-bag-hiking.html" TargetMode="External" Id="rId86" /><Relationship Type="http://schemas.openxmlformats.org/officeDocument/2006/relationships/hyperlink" Target="https://harnais-chien-expert.fr/products/harnais-randonnee-sacoche-jaune" TargetMode="External" Id="rId87" /><Relationship Type="http://schemas.openxmlformats.org/officeDocument/2006/relationships/hyperlink" Target="https://fr.aliexpress.com/w/wholesale-dog-backpack-harness-saddle-bag-hiking.html" TargetMode="External" Id="rId88" /><Relationship Type="http://schemas.openxmlformats.org/officeDocument/2006/relationships/hyperlink" Target="https://harnais-chien-expert.fr/products/harnais-randonnee-sacoche-gris" TargetMode="External" Id="rId89" /><Relationship Type="http://schemas.openxmlformats.org/officeDocument/2006/relationships/hyperlink" Target="https://fr.aliexpress.com/w/wholesale-dog-backpack-harness-saddle-bag-hiking.html" TargetMode="External" Id="rId90" /><Relationship Type="http://schemas.openxmlformats.org/officeDocument/2006/relationships/hyperlink" Target="https://harnais-chien-expert.fr/products/harnais-randonnee-sacoche-bleu" TargetMode="External" Id="rId91" /><Relationship Type="http://schemas.openxmlformats.org/officeDocument/2006/relationships/hyperlink" Target="https://fr.aliexpress.com/w/wholesale-dog-backpack-harness-saddle-bag-hiking.html" TargetMode="External" Id="rId92" /><Relationship Type="http://schemas.openxmlformats.org/officeDocument/2006/relationships/hyperlink" Target="https://harnais-chien-expert.fr/products/harnais-petit-chien-maille-respirante" TargetMode="External" Id="rId93" /><Relationship Type="http://schemas.openxmlformats.org/officeDocument/2006/relationships/hyperlink" Target="https://fr.aliexpress.com/w/wholesale-small-dog-harness-vest.html" TargetMode="External" Id="rId94" /><Relationship Type="http://schemas.openxmlformats.org/officeDocument/2006/relationships/hyperlink" Target="https://harnais-chien-expert.fr/products/harnais-chiot-doux-colore" TargetMode="External" Id="rId95" /><Relationship Type="http://schemas.openxmlformats.org/officeDocument/2006/relationships/hyperlink" Target="https://fr.aliexpress.com/w/wholesale-puppy-harness-mesh-breathable.html" TargetMode="External" Id="rId96" /><Relationship Type="http://schemas.openxmlformats.org/officeDocument/2006/relationships/hyperlink" Target="https://harnais-chien-expert.fr/products/harnais-chien-reflechissant-ajustable" TargetMode="External" Id="rId97" /><Relationship Type="http://schemas.openxmlformats.org/officeDocument/2006/relationships/hyperlink" Target="https://fr.aliexpress.com/w/wholesale-reflective-no-pull-dog-harness-padded.html" TargetMode="External" Id="rId98" /><Relationship Type="http://schemas.openxmlformats.org/officeDocument/2006/relationships/hyperlink" Target="https://harnais-chien-expert.fr/products/harnais-chiot-respirant-reglable" TargetMode="External" Id="rId99" /><Relationship Type="http://schemas.openxmlformats.org/officeDocument/2006/relationships/hyperlink" Target="https://fr.aliexpress.com/w/wholesale-puppy-harness-mesh-breathable.html" TargetMode="External" Id="rId100" /><Relationship Type="http://schemas.openxmlformats.org/officeDocument/2006/relationships/hyperlink" Target="https://harnais-chien-expert.fr/products/harnais-canicross-reflechissant-jaune" TargetMode="External" Id="rId101" /><Relationship Type="http://schemas.openxmlformats.org/officeDocument/2006/relationships/hyperlink" Target="https://fr.aliexpress.com/w/wholesale-canicross-dog-harness-running.html" TargetMode="External" Id="rId102" /><Relationship Type="http://schemas.openxmlformats.org/officeDocument/2006/relationships/hyperlink" Target="https://harnais-chien-expert.fr/products/harnais-canicross-vert" TargetMode="External" Id="rId103" /><Relationship Type="http://schemas.openxmlformats.org/officeDocument/2006/relationships/hyperlink" Target="https://fr.aliexpress.com/w/wholesale-canicross-dog-harness-running.html" TargetMode="External" Id="rId104" /><Relationship Type="http://schemas.openxmlformats.org/officeDocument/2006/relationships/hyperlink" Target="https://harnais-chien-expert.fr/products/harnais-canicross-avec-laisse" TargetMode="External" Id="rId105" /><Relationship Type="http://schemas.openxmlformats.org/officeDocument/2006/relationships/hyperlink" Target="https://fr.aliexpress.com/w/wholesale-canicross-dog-harness-running.html" TargetMode="External" Id="rId106" /><Relationship Type="http://schemas.openxmlformats.org/officeDocument/2006/relationships/hyperlink" Target="https://harnais-chien-expert.fr/products/harnais-canicross-reflechissant-noir" TargetMode="External" Id="rId107" /><Relationship Type="http://schemas.openxmlformats.org/officeDocument/2006/relationships/hyperlink" Target="https://fr.aliexpress.com/w/wholesale-canicross-dog-harness-running.html" TargetMode="External" Id="rId108" /><Relationship Type="http://schemas.openxmlformats.org/officeDocument/2006/relationships/hyperlink" Target="https://harnais-chien-expert.fr/products/harnais-canicross-reflechissant-rouge" TargetMode="External" Id="rId109" /><Relationship Type="http://schemas.openxmlformats.org/officeDocument/2006/relationships/hyperlink" Target="https://fr.aliexpress.com/w/wholesale-canicross-dog-harness-running.html" TargetMode="External" Id="rId110" /><Relationship Type="http://schemas.openxmlformats.org/officeDocument/2006/relationships/hyperlink" Target="https://harnais-chien-expert.fr/products/harnais-chien-noir" TargetMode="External" Id="rId111" /><Relationship Type="http://schemas.openxmlformats.org/officeDocument/2006/relationships/hyperlink" Target="https://fr.aliexpress.com/w/wholesale-dog-harness.html" TargetMode="External" Id="rId112" /><Relationship Type="http://schemas.openxmlformats.org/officeDocument/2006/relationships/hyperlink" Target="https://harnais-chien-expert.fr/products/harnais-chien-rouge" TargetMode="External" Id="rId113" /><Relationship Type="http://schemas.openxmlformats.org/officeDocument/2006/relationships/hyperlink" Target="https://fr.aliexpress.com/w/wholesale-dog-harness.html" TargetMode="External" Id="rId114" /><Relationship Type="http://schemas.openxmlformats.org/officeDocument/2006/relationships/hyperlink" Target="https://harnais-chien-expert.fr/products/harnais-chien-gris" TargetMode="External" Id="rId115" /><Relationship Type="http://schemas.openxmlformats.org/officeDocument/2006/relationships/hyperlink" Target="https://fr.aliexpress.com/w/wholesale-dog-harness.html" TargetMode="External" Id="rId116" /><Relationship Type="http://schemas.openxmlformats.org/officeDocument/2006/relationships/hyperlink" Target="https://harnais-chien-expert.fr/products/harnais-chien-rose" TargetMode="External" Id="rId117" /><Relationship Type="http://schemas.openxmlformats.org/officeDocument/2006/relationships/hyperlink" Target="https://fr.aliexpress.com/w/wholesale-dog-harness.html" TargetMode="External" Id="rId118" /><Relationship Type="http://schemas.openxmlformats.org/officeDocument/2006/relationships/hyperlink" Target="https://harnais-chien-expert.fr/products/harnais-chien-noir-reflechissant" TargetMode="External" Id="rId119" /><Relationship Type="http://schemas.openxmlformats.org/officeDocument/2006/relationships/hyperlink" Target="https://fr.aliexpress.com/w/wholesale-reflective-no-pull-dog-harness-padded.html" TargetMode="External" Id="rId120" /><Relationship Type="http://schemas.openxmlformats.org/officeDocument/2006/relationships/hyperlink" Target="https://harnais-chien-expert.fr/products/harnais-chien-rouge-reflechissant" TargetMode="External" Id="rId121" /><Relationship Type="http://schemas.openxmlformats.org/officeDocument/2006/relationships/hyperlink" Target="https://fr.aliexpress.com/w/wholesale-reflective-no-pull-dog-harness-padded.html" TargetMode="External" Id="rId122" /><Relationship Type="http://schemas.openxmlformats.org/officeDocument/2006/relationships/hyperlink" Target="https://harnais-chien-expert.fr/products/harnais-chien-bleu-reflechissant" TargetMode="External" Id="rId123" /><Relationship Type="http://schemas.openxmlformats.org/officeDocument/2006/relationships/hyperlink" Target="https://fr.aliexpress.com/w/wholesale-reflective-no-pull-dog-harness-padded.html" TargetMode="External" Id="rId124" /><Relationship Type="http://schemas.openxmlformats.org/officeDocument/2006/relationships/hyperlink" Target="https://harnais-chien-expert.fr/products/harnais-chien-handicape-camouflage" TargetMode="External" Id="rId125" /><Relationship Type="http://schemas.openxmlformats.org/officeDocument/2006/relationships/hyperlink" Target="https://fr.aliexpress.com/w/wholesale-dog-rear-lift-support-harness.html" TargetMode="External" Id="rId126" /><Relationship Type="http://schemas.openxmlformats.org/officeDocument/2006/relationships/hyperlink" Target="https://harnais-chien-expert.fr/products/harnais-chien-handicape-violet" TargetMode="External" Id="rId127" /><Relationship Type="http://schemas.openxmlformats.org/officeDocument/2006/relationships/hyperlink" Target="https://fr.aliexpress.com/w/wholesale-dog-rear-lift-support-harness.html" TargetMode="External" Id="rId128" /><Relationship Type="http://schemas.openxmlformats.org/officeDocument/2006/relationships/hyperlink" Target="https://harnais-chien-expert.fr/products/sangle-chien-handicape-noire" TargetMode="External" Id="rId129" /><Relationship Type="http://schemas.openxmlformats.org/officeDocument/2006/relationships/hyperlink" Target="https://fr.aliexpress.com/w/wholesale-dog-rear-lift-support-harness.html" TargetMode="External" Id="rId130" /><Relationship Type="http://schemas.openxmlformats.org/officeDocument/2006/relationships/hyperlink" Target="https://harnais-chien-expert.fr/products/harnais-chien-handicape-gris" TargetMode="External" Id="rId131" /><Relationship Type="http://schemas.openxmlformats.org/officeDocument/2006/relationships/hyperlink" Target="https://fr.aliexpress.com/w/wholesale-dog-rear-lift-support-harness.html" TargetMode="External" Id="rId132" /><Relationship Type="http://schemas.openxmlformats.org/officeDocument/2006/relationships/hyperlink" Target="https://harnais-chien-expert.fr/products/harnais-chien-handicape-bleu-renforce" TargetMode="External" Id="rId133" /><Relationship Type="http://schemas.openxmlformats.org/officeDocument/2006/relationships/hyperlink" Target="https://fr.aliexpress.com/w/wholesale-dog-rear-lift-support-harness.html" TargetMode="External" Id="rId134" /><Relationship Type="http://schemas.openxmlformats.org/officeDocument/2006/relationships/hyperlink" Target="https://harnais-chien-expert.fr/products/harnais-chien-handicape-rose" TargetMode="External" Id="rId135" /><Relationship Type="http://schemas.openxmlformats.org/officeDocument/2006/relationships/hyperlink" Target="https://fr.aliexpress.com/w/wholesale-dog-rear-lift-support-harness.html" TargetMode="External" Id="rId136" /><Relationship Type="http://schemas.openxmlformats.org/officeDocument/2006/relationships/hyperlink" Target="https://harnais-chien-expert.fr/products/harnais-chien-handicape-bleu" TargetMode="External" Id="rId137" /><Relationship Type="http://schemas.openxmlformats.org/officeDocument/2006/relationships/hyperlink" Target="https://fr.aliexpress.com/w/wholesale-dog-rear-lift-support-harness.html" TargetMode="External" Id="rId138" /><Relationship Type="http://schemas.openxmlformats.org/officeDocument/2006/relationships/hyperlink" Target="https://harnais-chien-expert.fr/products/harnais-chien-handicape-noir" TargetMode="External" Id="rId139" /><Relationship Type="http://schemas.openxmlformats.org/officeDocument/2006/relationships/hyperlink" Target="https://fr.aliexpress.com/w/wholesale-dog-rear-lift-support-harness.html" TargetMode="External" Id="rId140" /><Relationship Type="http://schemas.openxmlformats.org/officeDocument/2006/relationships/hyperlink" Target="https://harnais-chien-expert.fr/products/laisse-elastique-reflechissante-mains-libres-chien" TargetMode="External" Id="rId141" /><Relationship Type="http://schemas.openxmlformats.org/officeDocument/2006/relationships/hyperlink" Target="https://fr.aliexpress.com/w/wholesale-hands-free-bungee-dog-leash-reflective.html" TargetMode="External" Id="rId142" /><Relationship Type="http://schemas.openxmlformats.org/officeDocument/2006/relationships/hyperlink" Target="https://harnais-chien-expert.fr/products/laisse-tactique-amortissante-double-poignee" TargetMode="External" Id="rId143" /><Relationship Type="http://schemas.openxmlformats.org/officeDocument/2006/relationships/hyperlink" Target="https://fr.aliexpress.com/w/wholesale-tactical-dog-harness-molle.html" TargetMode="External" Id="rId144" /><Relationship Type="http://schemas.openxmlformats.org/officeDocument/2006/relationships/hyperlink" Target="https://harnais-chien-expert.fr/products/laisse-reflechissante-renforcee-poignee-rembourree" TargetMode="External" Id="rId145" /><Relationship Type="http://schemas.openxmlformats.org/officeDocument/2006/relationships/hyperlink" Target="https://fr.aliexpress.com/w/wholesale-reflective-dog-leash-padded-handle.html" TargetMode="External" Id="rId146" /><Relationship Type="http://schemas.openxmlformats.org/officeDocument/2006/relationships/hyperlink" Target="https://harnais-chien-expert.fr/products/distributeur-sacs-crottes-chien" TargetMode="External" Id="rId147" /><Relationship Type="http://schemas.openxmlformats.org/officeDocument/2006/relationships/hyperlink" Target="https://fr.aliexpress.com/w/wholesale-dog-poop-bag-dispenser.html" TargetMode="External" Id="rId148" /><Relationship Type="http://schemas.openxmlformats.org/officeDocument/2006/relationships/hyperlink" Target="https://harnais-chien-expert.fr/products/harnais-3-points-tactique" TargetMode="External" Id="rId149" /><Relationship Type="http://schemas.openxmlformats.org/officeDocument/2006/relationships/hyperlink" Target="https://fr.aliexpress.com/w/wholesale-escape-proof-dog-harness-3-point.html" TargetMode="External" Id="rId150" /><Relationship Type="http://schemas.openxmlformats.org/officeDocument/2006/relationships/hyperlink" Target="https://harnais-chien-expert.fr/products/harnais-3-points-classique" TargetMode="External" Id="rId151" /><Relationship Type="http://schemas.openxmlformats.org/officeDocument/2006/relationships/hyperlink" Target="https://fr.aliexpress.com/w/wholesale-escape-proof-dog-harness-3-point.html" TargetMode="External" Id="rId1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4" customWidth="1" min="4" max="4"/>
    <col width="18" customWidth="1" min="5" max="5"/>
    <col width="10" customWidth="1" min="6" max="6"/>
    <col width="8" customWidth="1" min="7" max="7"/>
    <col width="11" customWidth="1" min="8" max="8"/>
    <col width="10" customWidth="1" min="9" max="9"/>
    <col width="11" customWidth="1" min="10" max="10"/>
    <col width="10" customWidth="1" min="11" max="11"/>
    <col width="60" customWidth="1" min="12" max="12"/>
    <col width="16" customWidth="1" min="13" max="13"/>
    <col width="11" customWidth="1" min="14" max="14"/>
    <col width="12" customWidth="1" min="15" max="15"/>
    <col width="34" customWidth="1" min="16" max="16"/>
    <col width="22" customWidth="1" min="17" max="17"/>
    <col width="34" customWidth="1" min="18" max="18"/>
    <col width="40" customWidth="1" min="19" max="19"/>
    <col width="40" customWidth="1" min="20" max="20"/>
  </cols>
  <sheetData>
    <row r="1" ht="45" customHeight="1">
      <c r="A1" s="1" t="inlineStr">
        <is>
          <t>Produit</t>
        </is>
      </c>
      <c r="B1" s="1" t="inlineStr">
        <is>
          <t>Prix de vente actuel</t>
        </is>
      </c>
      <c r="C1" s="1" t="inlineStr">
        <is>
          <t>Prix barré actuel</t>
        </is>
      </c>
      <c r="D1" s="1" t="inlineStr">
        <is>
          <t>Prix AliExpress (meilleure correspondance)</t>
        </is>
      </c>
      <c r="E1" s="1" t="inlineStr">
        <is>
          <t>Lien AliExpress</t>
        </is>
      </c>
      <c r="F1" s="1" t="inlineStr">
        <is>
          <t>Frais de port ajoutés</t>
        </is>
      </c>
      <c r="G1" s="1" t="inlineStr">
        <is>
          <t>Taxe</t>
        </is>
      </c>
      <c r="H1" s="1" t="inlineStr">
        <is>
          <t>Coût de revient</t>
        </is>
      </c>
      <c r="I1" s="1" t="inlineStr">
        <is>
          <t>Coefficient actuel</t>
        </is>
      </c>
      <c r="J1" s="1" t="inlineStr">
        <is>
          <t>Prix recommandé</t>
        </is>
      </c>
      <c r="K1" s="1" t="inlineStr">
        <is>
          <t>Nouveau coefficient</t>
        </is>
      </c>
      <c r="L1" s="1" t="inlineStr">
        <is>
          <t>Commentaire</t>
        </is>
      </c>
      <c r="M1" s="1" t="inlineStr">
        <is>
          <t>Action</t>
        </is>
      </c>
      <c r="N1" s="1" t="inlineStr">
        <is>
          <t>Gamme</t>
        </is>
      </c>
      <c r="O1" s="1" t="inlineStr">
        <is>
          <t>Prix barré conseillé (~-20 %)</t>
        </is>
      </c>
      <c r="P1" s="1" t="inlineStr">
        <is>
          <t>Base du prix d'achat</t>
        </is>
      </c>
      <c r="Q1" s="1" t="inlineStr">
        <is>
          <t>Statut vérification AliExpress</t>
        </is>
      </c>
      <c r="R1" s="1" t="inlineStr">
        <is>
          <t>Mots-clés de recherche (EN)</t>
        </is>
      </c>
      <c r="S1" s="1" t="inlineStr">
        <is>
          <t>URL boutique</t>
        </is>
      </c>
      <c r="T1" s="1" t="inlineStr">
        <is>
          <t>URL photo principale</t>
        </is>
      </c>
    </row>
    <row r="2">
      <c r="A2" t="inlineStr">
        <is>
          <t>Harnais Chien Anti Traction Tactique</t>
        </is>
      </c>
      <c r="B2" s="2" t="n">
        <v>59.99</v>
      </c>
      <c r="C2" s="2" t="n"/>
      <c r="D2" s="3" t="n">
        <v>13.63</v>
      </c>
      <c r="E2" s="4" t="inlineStr">
        <is>
          <t>Recherche à vérifier</t>
        </is>
      </c>
      <c r="F2" s="2">
        <f>IF(D2&lt;10,1.99,0)</f>
        <v/>
      </c>
      <c r="G2" s="3" t="n">
        <v>3.6</v>
      </c>
      <c r="H2" s="2">
        <f>D2+F2+G2</f>
        <v/>
      </c>
      <c r="I2" s="5">
        <f>B2/H2</f>
        <v/>
      </c>
      <c r="J2" s="2" t="n">
        <v>44.99</v>
      </c>
      <c r="K2" s="5">
        <f>J2/H2</f>
        <v/>
      </c>
      <c r="L2" s="6" t="inlineStr">
        <is>
          <t>Tactique → repositionné sur 39,99–44,99 € (Rabbitgoo Amazon 27–41 €). Prix barré possible à 55.99 € seulement si ce prix a réellement été pratiqué les 30 derniers jours (Omnibus).</t>
        </is>
      </c>
      <c r="M2" t="inlineStr">
        <is>
          <t>BAISSER</t>
        </is>
      </c>
      <c r="N2" t="inlineStr">
        <is>
          <t>tactique</t>
        </is>
      </c>
      <c r="O2" s="2" t="n">
        <v>55.99</v>
      </c>
      <c r="P2" t="inlineStr">
        <is>
          <t>Coût par article Shopify — taille M</t>
        </is>
      </c>
      <c r="Q2" t="inlineStr">
        <is>
          <t>NON VÉRIFIÉ (accès AliExpress bloqué)</t>
        </is>
      </c>
      <c r="R2" t="inlineStr">
        <is>
          <t>tactical dog harness molle</t>
        </is>
      </c>
      <c r="S2" t="inlineStr">
        <is>
          <t>https://harnais-chien-expert.fr/products/harnais-chien-anti-traction-tactique</t>
        </is>
      </c>
      <c r="T2" t="inlineStr">
        <is>
          <t>https://cdn.shopify.com/s/files/1/0992/8553/3046/files/harnais-chien-anti-traction-tactique-violet.webp?v=1787789817</t>
        </is>
      </c>
    </row>
    <row r="3">
      <c r="A3" t="inlineStr">
        <is>
          <t>Harnais Chien Anti Traction Original</t>
        </is>
      </c>
      <c r="B3" s="2" t="n">
        <v>54.99</v>
      </c>
      <c r="C3" s="2" t="n"/>
      <c r="D3" s="3" t="n">
        <v>11.38</v>
      </c>
      <c r="E3" s="4" t="inlineStr">
        <is>
          <t>Recherche à vérifier</t>
        </is>
      </c>
      <c r="F3" s="2">
        <f>IF(D3&lt;10,1.99,0)</f>
        <v/>
      </c>
      <c r="G3" s="3" t="n">
        <v>3.6</v>
      </c>
      <c r="H3" s="2">
        <f>D3+F3+G3</f>
        <v/>
      </c>
      <c r="I3" s="5">
        <f>B3/H3</f>
        <v/>
      </c>
      <c r="J3" s="2" t="n">
        <v>44.99</v>
      </c>
      <c r="K3" s="5">
        <f>J3/H3</f>
        <v/>
      </c>
      <c r="L3" s="6" t="inlineStr">
        <is>
          <t>Coût très variable selon la variante (10.48–15.43 €) : vérifier la marge sur les grandes tailles.</t>
        </is>
      </c>
      <c r="M3" t="inlineStr">
        <is>
          <t>BAISSER</t>
        </is>
      </c>
      <c r="N3" t="inlineStr">
        <is>
          <t>cœur</t>
        </is>
      </c>
      <c r="O3" s="2" t="n">
        <v>55.99</v>
      </c>
      <c r="P3" t="inlineStr">
        <is>
          <t>Coût par article Shopify — taille M</t>
        </is>
      </c>
      <c r="Q3" t="inlineStr">
        <is>
          <t>NON VÉRIFIÉ (accès AliExpress bloqué)</t>
        </is>
      </c>
      <c r="R3" t="inlineStr">
        <is>
          <t>no pull dog harness padded</t>
        </is>
      </c>
      <c r="S3" t="inlineStr">
        <is>
          <t>https://harnais-chien-expert.fr/products/harnais-chien-anti-traction-original</t>
        </is>
      </c>
      <c r="T3" t="inlineStr">
        <is>
          <t>https://cdn.shopify.com/s/files/1/0992/8553/3046/files/harnais-chien-rembourre-cafe-beige.webp?v=1787789835</t>
        </is>
      </c>
    </row>
    <row r="4">
      <c r="A4" t="inlineStr">
        <is>
          <t>Harnais Chien Anti Traction Ergonomique</t>
        </is>
      </c>
      <c r="B4" s="2" t="n">
        <v>79.98999999999999</v>
      </c>
      <c r="C4" s="2" t="n">
        <v>99.98999999999999</v>
      </c>
      <c r="D4" s="3" t="n">
        <v>32.57</v>
      </c>
      <c r="E4" s="4" t="inlineStr">
        <is>
          <t>Recherche à vérifier</t>
        </is>
      </c>
      <c r="F4" s="2">
        <f>IF(D4&lt;10,1.99,0)</f>
        <v/>
      </c>
      <c r="G4" s="3" t="n">
        <v>3.6</v>
      </c>
      <c r="H4" s="2">
        <f>D4+F4+G4</f>
        <v/>
      </c>
      <c r="I4" s="5">
        <f>B4/H4</f>
        <v/>
      </c>
      <c r="J4" s="2" t="n">
        <v>59.99</v>
      </c>
      <c r="K4" s="5">
        <f>J4/H4</f>
        <v/>
      </c>
      <c r="L4" s="6" t="inlineStr">
        <is>
          <t>Même au plafond 59.99 € le coef. n'est que 1.66 (2,5 exigerait ≥ 90.99 €). Premium : plafond 59,99 € (Ruffwear Front Range ~60 €). Coût très variable selon la variante (28.49–44.80 €) : vérifier la marge sur les grandes tailles.</t>
        </is>
      </c>
      <c r="M4" t="inlineStr">
        <is>
          <t>RETIRER / changer de fournisseur</t>
        </is>
      </c>
      <c r="N4" t="inlineStr">
        <is>
          <t>premium</t>
        </is>
      </c>
      <c r="O4" s="2" t="n">
        <v>73.98999999999999</v>
      </c>
      <c r="P4" t="inlineStr">
        <is>
          <t>Coût par article Shopify — taille M</t>
        </is>
      </c>
      <c r="Q4" t="inlineStr">
        <is>
          <t>NON VÉRIFIÉ (accès AliExpress bloqué)</t>
        </is>
      </c>
      <c r="R4" t="inlineStr">
        <is>
          <t>no pull dog harness padded</t>
        </is>
      </c>
      <c r="S4" t="inlineStr">
        <is>
          <t>https://harnais-chien-expert.fr/products/harnais-chien-anti-traction-ergonomique</t>
        </is>
      </c>
      <c r="T4" t="inlineStr">
        <is>
          <t>https://cdn.shopify.com/s/files/1/0992/8553/3046/files/harnais-chien-anti-traction-ergonomique-orange-cordura-sans-marque_aec7fc63-2405-4aea-95d1-b52cb3e21010.webp?v=1789975621</t>
        </is>
      </c>
    </row>
    <row r="5">
      <c r="A5" t="inlineStr">
        <is>
          <t>Harnais 3 Points Promenade</t>
        </is>
      </c>
      <c r="B5" s="2" t="n">
        <v>54.99</v>
      </c>
      <c r="C5" s="2" t="n"/>
      <c r="D5" s="3" t="n">
        <v>15.1</v>
      </c>
      <c r="E5" s="4" t="inlineStr">
        <is>
          <t>Recherche à vérifier</t>
        </is>
      </c>
      <c r="F5" s="2">
        <f>IF(D5&lt;10,1.99,0)</f>
        <v/>
      </c>
      <c r="G5" s="3" t="n">
        <v>3.6</v>
      </c>
      <c r="H5" s="2">
        <f>D5+F5+G5</f>
        <v/>
      </c>
      <c r="I5" s="5">
        <f>B5/H5</f>
        <v/>
      </c>
      <c r="J5" s="2" t="n">
        <v>49.99</v>
      </c>
      <c r="K5" s="5">
        <f>J5/H5</f>
        <v/>
      </c>
      <c r="L5" s="6" t="inlineStr"/>
      <c r="M5" t="inlineStr">
        <is>
          <t>BAISSER</t>
        </is>
      </c>
      <c r="N5" t="inlineStr">
        <is>
          <t>cœur</t>
        </is>
      </c>
      <c r="O5" s="2" t="n">
        <v>61.99</v>
      </c>
      <c r="P5" t="inlineStr">
        <is>
          <t>Coût par article Shopify — taille M</t>
        </is>
      </c>
      <c r="Q5" t="inlineStr">
        <is>
          <t>NON VÉRIFIÉ (accès AliExpress bloqué)</t>
        </is>
      </c>
      <c r="R5" t="inlineStr">
        <is>
          <t>escape proof dog harness 3 point</t>
        </is>
      </c>
      <c r="S5" t="inlineStr">
        <is>
          <t>https://harnais-chien-expert.fr/products/harnais-3-points-promenade</t>
        </is>
      </c>
      <c r="T5" t="inlineStr">
        <is>
          <t>https://cdn.shopify.com/s/files/1/0992/8553/3046/files/harnais-chien-anti-traction-promenade-orange.webp?v=1787790726</t>
        </is>
      </c>
    </row>
    <row r="6">
      <c r="A6" t="inlineStr">
        <is>
          <t>Harnais Chien Anti Traction avec Support AirTag</t>
        </is>
      </c>
      <c r="B6" s="2" t="n">
        <v>59.99</v>
      </c>
      <c r="C6" s="2" t="n"/>
      <c r="D6" s="3" t="n">
        <v>10.97</v>
      </c>
      <c r="E6" s="4" t="inlineStr">
        <is>
          <t>Recherche à vérifier</t>
        </is>
      </c>
      <c r="F6" s="2">
        <f>IF(D6&lt;10,1.99,0)</f>
        <v/>
      </c>
      <c r="G6" s="3" t="n">
        <v>3.6</v>
      </c>
      <c r="H6" s="2">
        <f>D6+F6+G6</f>
        <v/>
      </c>
      <c r="I6" s="5">
        <f>B6/H6</f>
        <v/>
      </c>
      <c r="J6" s="2" t="n">
        <v>44.99</v>
      </c>
      <c r="K6" s="5">
        <f>J6/H6</f>
        <v/>
      </c>
      <c r="L6" s="6" t="inlineStr">
        <is>
          <t>Prix barré possible à 55.99 € seulement si ce prix a réellement été pratiqué les 30 derniers jours (Omnibus).</t>
        </is>
      </c>
      <c r="M6" t="inlineStr">
        <is>
          <t>BAISSER</t>
        </is>
      </c>
      <c r="N6" t="inlineStr">
        <is>
          <t>cœur</t>
        </is>
      </c>
      <c r="O6" s="2" t="n">
        <v>55.99</v>
      </c>
      <c r="P6" t="inlineStr">
        <is>
          <t>Coût par article Shopify — taille M</t>
        </is>
      </c>
      <c r="Q6" t="inlineStr">
        <is>
          <t>NON VÉRIFIÉ (accès AliExpress bloqué)</t>
        </is>
      </c>
      <c r="R6" t="inlineStr">
        <is>
          <t>airtag dog harness no pull</t>
        </is>
      </c>
      <c r="S6" t="inlineStr">
        <is>
          <t>https://harnais-chien-expert.fr/products/harnais-chien-anti-traction-airtag</t>
        </is>
      </c>
      <c r="T6" t="inlineStr">
        <is>
          <t>https://cdn.shopify.com/s/files/1/0992/8553/3046/files/harnais-anti-traction-avec-support-airtag-marron.webp?v=1788026583</t>
        </is>
      </c>
    </row>
    <row r="7">
      <c r="A7" t="inlineStr">
        <is>
          <t>Harnais Chien Anti Traction Réfléchissant</t>
        </is>
      </c>
      <c r="B7" s="2" t="n">
        <v>59.99</v>
      </c>
      <c r="C7" s="2" t="n"/>
      <c r="D7" s="3" t="n">
        <v>9.94</v>
      </c>
      <c r="E7" s="4" t="inlineStr">
        <is>
          <t>Recherche à vérifier</t>
        </is>
      </c>
      <c r="F7" s="2">
        <f>IF(D7&lt;10,1.99,0)</f>
        <v/>
      </c>
      <c r="G7" s="3" t="n">
        <v>3.6</v>
      </c>
      <c r="H7" s="2">
        <f>D7+F7+G7</f>
        <v/>
      </c>
      <c r="I7" s="5">
        <f>B7/H7</f>
        <v/>
      </c>
      <c r="J7" s="2" t="n">
        <v>44.99</v>
      </c>
      <c r="K7" s="5">
        <f>J7/H7</f>
        <v/>
      </c>
      <c r="L7" s="6" t="inlineStr">
        <is>
          <t>Coût très variable selon la variante (9.29–12.92 €) : vérifier la marge sur les grandes tailles. Prix barré possible à 55.99 € seulement si ce prix a réellement été pratiqué les 30 derniers jours (Omnibus).</t>
        </is>
      </c>
      <c r="M7" t="inlineStr">
        <is>
          <t>BAISSER</t>
        </is>
      </c>
      <c r="N7" t="inlineStr">
        <is>
          <t>cœur</t>
        </is>
      </c>
      <c r="O7" s="2" t="n">
        <v>55.99</v>
      </c>
      <c r="P7" t="inlineStr">
        <is>
          <t>Coût par article Shopify — taille M</t>
        </is>
      </c>
      <c r="Q7" t="inlineStr">
        <is>
          <t>NON VÉRIFIÉ (accès AliExpress bloqué)</t>
        </is>
      </c>
      <c r="R7" t="inlineStr">
        <is>
          <t>reflective no pull dog harness padded</t>
        </is>
      </c>
      <c r="S7" t="inlineStr">
        <is>
          <t>https://harnais-chien-expert.fr/products/harnais-chien-anti-traction-reflechissant</t>
        </is>
      </c>
      <c r="T7" t="inlineStr">
        <is>
          <t>https://cdn.shopify.com/s/files/1/0992/8553/3046/files/harnais-chien-anti-traction-reflechissant-orange.webp?v=1787797291</t>
        </is>
      </c>
    </row>
    <row r="8">
      <c r="A8" t="inlineStr">
        <is>
          <t>Harnais Chien Anti Traction Renforcé</t>
        </is>
      </c>
      <c r="B8" s="2" t="n">
        <v>39.99</v>
      </c>
      <c r="C8" s="2" t="n">
        <v>59.99</v>
      </c>
      <c r="D8" s="3" t="n">
        <v>7.38</v>
      </c>
      <c r="E8" s="4" t="inlineStr">
        <is>
          <t>Recherche à vérifier</t>
        </is>
      </c>
      <c r="F8" s="2">
        <f>IF(D8&lt;10,1.99,0)</f>
        <v/>
      </c>
      <c r="G8" s="3" t="n">
        <v>3.6</v>
      </c>
      <c r="H8" s="2">
        <f>D8+F8+G8</f>
        <v/>
      </c>
      <c r="I8" s="5">
        <f>B8/H8</f>
        <v/>
      </c>
      <c r="J8" s="2" t="n">
        <v>44.99</v>
      </c>
      <c r="K8" s="5">
        <f>J8/H8</f>
        <v/>
      </c>
      <c r="L8" s="6" t="inlineStr">
        <is>
          <t>Prix barré actuel = -33% : hors fourchette réaliste (-15/-25 %), risque Omnibus.</t>
        </is>
      </c>
      <c r="M8" t="inlineStr">
        <is>
          <t>AUGMENTER</t>
        </is>
      </c>
      <c r="N8" t="inlineStr">
        <is>
          <t>cœur</t>
        </is>
      </c>
      <c r="O8" s="2" t="n">
        <v>55.99</v>
      </c>
      <c r="P8" t="inlineStr">
        <is>
          <t>Coût par article Shopify — taille M</t>
        </is>
      </c>
      <c r="Q8" t="inlineStr">
        <is>
          <t>NON VÉRIFIÉ (accès AliExpress bloqué)</t>
        </is>
      </c>
      <c r="R8" t="inlineStr">
        <is>
          <t>no pull dog harness padded</t>
        </is>
      </c>
      <c r="S8" t="inlineStr">
        <is>
          <t>https://harnais-chien-expert.fr/products/harnais-chien-anti-traction-renforce</t>
        </is>
      </c>
      <c r="T8" t="inlineStr">
        <is>
          <t>https://cdn.shopify.com/s/files/1/0992/8553/3046/files/harnais-chien-anti-traction-renforce-kaki.webp?v=1787797305</t>
        </is>
      </c>
    </row>
    <row r="9">
      <c r="A9" t="inlineStr">
        <is>
          <t>Harnais Chien Anti Traction Sécurité</t>
        </is>
      </c>
      <c r="B9" s="2" t="n">
        <v>59.99</v>
      </c>
      <c r="C9" s="2" t="n">
        <v>79.98999999999999</v>
      </c>
      <c r="D9" s="3" t="n">
        <v>22.64</v>
      </c>
      <c r="E9" s="4" t="inlineStr">
        <is>
          <t>Recherche à vérifier</t>
        </is>
      </c>
      <c r="F9" s="2">
        <f>IF(D9&lt;10,1.99,0)</f>
        <v/>
      </c>
      <c r="G9" s="3" t="n">
        <v>3.6</v>
      </c>
      <c r="H9" s="2">
        <f>D9+F9+G9</f>
        <v/>
      </c>
      <c r="I9" s="5">
        <f>B9/H9</f>
        <v/>
      </c>
      <c r="J9" s="2" t="n">
        <v>59.99</v>
      </c>
      <c r="K9" s="5">
        <f>J9/H9</f>
        <v/>
      </c>
      <c r="L9" s="6" t="inlineStr">
        <is>
          <t>Coef. 2,5 impossible sous le plafond 59.99 € (il faudrait ≥ 65.99 €) : renégocier le fournisseur ou en trouver un moins cher. Premium : plafond 59,99 € (Ruffwear Front Range ~60 €). Prix barré actuel = -25% : hors fourchette réaliste (-15/-25 %), risque Omnibus. Coût très variable selon la variante (17.75–28.70 €) : vérifier la marge sur les grandes tailles.</t>
        </is>
      </c>
      <c r="M9" t="inlineStr">
        <is>
          <t>GARDER (marge faible)</t>
        </is>
      </c>
      <c r="N9" t="inlineStr">
        <is>
          <t>premium</t>
        </is>
      </c>
      <c r="O9" s="2" t="n">
        <v>73.98999999999999</v>
      </c>
      <c r="P9" t="inlineStr">
        <is>
          <t>Coût par article Shopify — taille M</t>
        </is>
      </c>
      <c r="Q9" t="inlineStr">
        <is>
          <t>NON VÉRIFIÉ (accès AliExpress bloqué)</t>
        </is>
      </c>
      <c r="R9" t="inlineStr">
        <is>
          <t>no pull dog harness padded</t>
        </is>
      </c>
      <c r="S9" t="inlineStr">
        <is>
          <t>https://harnais-chien-expert.fr/products/harnais-chien-anti-traction-securite</t>
        </is>
      </c>
      <c r="T9" t="inlineStr">
        <is>
          <t>https://cdn.shopify.com/s/files/1/0992/8553/3046/files/harnais-chien-anti-traction-securite-rouge.webp?v=1787800945</t>
        </is>
      </c>
    </row>
    <row r="10">
      <c r="A10" t="inlineStr">
        <is>
          <t>Harnais Chien Anti Traction Léger</t>
        </is>
      </c>
      <c r="B10" s="2" t="n">
        <v>59.99</v>
      </c>
      <c r="C10" s="2" t="n"/>
      <c r="D10" s="3" t="n">
        <v>8.41</v>
      </c>
      <c r="E10" s="4" t="inlineStr">
        <is>
          <t>Recherche à vérifier</t>
        </is>
      </c>
      <c r="F10" s="2">
        <f>IF(D10&lt;10,1.99,0)</f>
        <v/>
      </c>
      <c r="G10" s="3" t="n">
        <v>3.6</v>
      </c>
      <c r="H10" s="2">
        <f>D10+F10+G10</f>
        <v/>
      </c>
      <c r="I10" s="5">
        <f>B10/H10</f>
        <v/>
      </c>
      <c r="J10" s="2" t="n">
        <v>44.99</v>
      </c>
      <c r="K10" s="5">
        <f>J10/H10</f>
        <v/>
      </c>
      <c r="L10" s="6" t="inlineStr">
        <is>
          <t>Coût très variable selon la variante (6.87–10.75 €) : vérifier la marge sur les grandes tailles. Prix barré possible à 55.99 € seulement si ce prix a réellement été pratiqué les 30 derniers jours (Omnibus).</t>
        </is>
      </c>
      <c r="M10" t="inlineStr">
        <is>
          <t>BAISSER</t>
        </is>
      </c>
      <c r="N10" t="inlineStr">
        <is>
          <t>cœur</t>
        </is>
      </c>
      <c r="O10" s="2" t="n">
        <v>55.99</v>
      </c>
      <c r="P10" t="inlineStr">
        <is>
          <t>Coût par article Shopify — taille M</t>
        </is>
      </c>
      <c r="Q10" t="inlineStr">
        <is>
          <t>NON VÉRIFIÉ (accès AliExpress bloqué)</t>
        </is>
      </c>
      <c r="R10" t="inlineStr">
        <is>
          <t>no pull dog harness padded</t>
        </is>
      </c>
      <c r="S10" t="inlineStr">
        <is>
          <t>https://harnais-chien-expert.fr/products/harnais-chien-anti-traction-leger</t>
        </is>
      </c>
      <c r="T10" t="inlineStr">
        <is>
          <t>https://cdn.shopify.com/s/files/1/0992/8553/3046/files/harnais-chien-anti-traction-leger-marron.webp?v=1787800956</t>
        </is>
      </c>
    </row>
    <row r="11">
      <c r="A11" t="inlineStr">
        <is>
          <t>Harnais Chien Anti Traction Floral</t>
        </is>
      </c>
      <c r="B11" s="2" t="n">
        <v>59.99</v>
      </c>
      <c r="C11" s="2" t="n"/>
      <c r="D11" s="3" t="n">
        <v>14.94</v>
      </c>
      <c r="E11" s="4" t="inlineStr">
        <is>
          <t>Recherche à vérifier</t>
        </is>
      </c>
      <c r="F11" s="2">
        <f>IF(D11&lt;10,1.99,0)</f>
        <v/>
      </c>
      <c r="G11" s="3" t="n">
        <v>3.6</v>
      </c>
      <c r="H11" s="2">
        <f>D11+F11+G11</f>
        <v/>
      </c>
      <c r="I11" s="5">
        <f>B11/H11</f>
        <v/>
      </c>
      <c r="J11" s="2" t="n">
        <v>49.99</v>
      </c>
      <c r="K11" s="5">
        <f>J11/H11</f>
        <v/>
      </c>
      <c r="L11" s="6" t="inlineStr"/>
      <c r="M11" t="inlineStr">
        <is>
          <t>BAISSER</t>
        </is>
      </c>
      <c r="N11" t="inlineStr">
        <is>
          <t>cœur</t>
        </is>
      </c>
      <c r="O11" s="2" t="n">
        <v>61.99</v>
      </c>
      <c r="P11" t="inlineStr">
        <is>
          <t>Coût par article Shopify — taille médiane (L)</t>
        </is>
      </c>
      <c r="Q11" t="inlineStr">
        <is>
          <t>NON VÉRIFIÉ (accès AliExpress bloqué)</t>
        </is>
      </c>
      <c r="R11" t="inlineStr">
        <is>
          <t>no pull dog harness padded</t>
        </is>
      </c>
      <c r="S11" t="inlineStr">
        <is>
          <t>https://harnais-chien-expert.fr/products/harnais-chien-anti-traction-floral</t>
        </is>
      </c>
      <c r="T11" t="inlineStr">
        <is>
          <t>https://cdn.shopify.com/s/files/1/0992/8553/3046/files/harnais-chien-anti-traction-floral-bleu-sans-marque-transparent_0e6dac5a-805a-499c-b678-c5cc98d17e34.webp?v=1787800967</t>
        </is>
      </c>
    </row>
    <row r="12">
      <c r="A12" t="inlineStr">
        <is>
          <t>Harnais Chien Anti Traction Rembourré</t>
        </is>
      </c>
      <c r="B12" s="2" t="n">
        <v>44.99</v>
      </c>
      <c r="C12" s="2" t="n">
        <v>59.99</v>
      </c>
      <c r="D12" s="3" t="n">
        <v>7.87</v>
      </c>
      <c r="E12" s="4" t="inlineStr">
        <is>
          <t>Recherche à vérifier</t>
        </is>
      </c>
      <c r="F12" s="2">
        <f>IF(D12&lt;10,1.99,0)</f>
        <v/>
      </c>
      <c r="G12" s="3" t="n">
        <v>3.6</v>
      </c>
      <c r="H12" s="2">
        <f>D12+F12+G12</f>
        <v/>
      </c>
      <c r="I12" s="5">
        <f>B12/H12</f>
        <v/>
      </c>
      <c r="J12" s="2" t="n">
        <v>44.99</v>
      </c>
      <c r="K12" s="5">
        <f>J12/H12</f>
        <v/>
      </c>
      <c r="L12" s="6" t="inlineStr">
        <is>
          <t>Prix barré actuel = -25% : hors fourchette réaliste (-15/-25 %), risque Omnibus. Coût très variable selon la variante (5.88–9.63 €) : vérifier la marge sur les grandes tailles.</t>
        </is>
      </c>
      <c r="M12" t="inlineStr">
        <is>
          <t>GARDER</t>
        </is>
      </c>
      <c r="N12" t="inlineStr">
        <is>
          <t>cœur</t>
        </is>
      </c>
      <c r="O12" s="2" t="n">
        <v>55.99</v>
      </c>
      <c r="P12" t="inlineStr">
        <is>
          <t>Coût par article Shopify — taille M</t>
        </is>
      </c>
      <c r="Q12" t="inlineStr">
        <is>
          <t>NON VÉRIFIÉ (accès AliExpress bloqué)</t>
        </is>
      </c>
      <c r="R12" t="inlineStr">
        <is>
          <t>no pull dog harness padded</t>
        </is>
      </c>
      <c r="S12" t="inlineStr">
        <is>
          <t>https://harnais-chien-expert.fr/products/harnais-chien-anti-traction-rembourre</t>
        </is>
      </c>
      <c r="T12" t="inlineStr">
        <is>
          <t>https://cdn.shopify.com/s/files/1/0992/8553/3046/files/harnais-chien-anti-traction-rembourre-orange-sans-marque-transparent_593a2d7d-d4fa-4222-a454-0a54d25b0d17.webp?v=1787808290</t>
        </is>
      </c>
    </row>
    <row r="13">
      <c r="A13" t="inlineStr">
        <is>
          <t>Harnais Chien Actif Respirant</t>
        </is>
      </c>
      <c r="B13" s="2" t="n">
        <v>49.99</v>
      </c>
      <c r="C13" s="2" t="n">
        <v>69.98999999999999</v>
      </c>
      <c r="D13" s="3" t="n">
        <v>10.08</v>
      </c>
      <c r="E13" s="4" t="inlineStr">
        <is>
          <t>Recherche à vérifier</t>
        </is>
      </c>
      <c r="F13" s="2">
        <f>IF(D13&lt;10,1.99,0)</f>
        <v/>
      </c>
      <c r="G13" s="3" t="n">
        <v>3.6</v>
      </c>
      <c r="H13" s="2">
        <f>D13+F13+G13</f>
        <v/>
      </c>
      <c r="I13" s="5">
        <f>B13/H13</f>
        <v/>
      </c>
      <c r="J13" s="2" t="n">
        <v>44.99</v>
      </c>
      <c r="K13" s="5">
        <f>J13/H13</f>
        <v/>
      </c>
      <c r="L13" s="6" t="inlineStr">
        <is>
          <t>Prix barré actuel = -29% : hors fourchette réaliste (-15/-25 %), risque Omnibus.</t>
        </is>
      </c>
      <c r="M13" t="inlineStr">
        <is>
          <t>BAISSER</t>
        </is>
      </c>
      <c r="N13" t="inlineStr">
        <is>
          <t>cœur</t>
        </is>
      </c>
      <c r="O13" s="2" t="n">
        <v>55.99</v>
      </c>
      <c r="P13" t="inlineStr">
        <is>
          <t>Coût par article Shopify — taille M</t>
        </is>
      </c>
      <c r="Q13" t="inlineStr">
        <is>
          <t>NON VÉRIFIÉ (accès AliExpress bloqué)</t>
        </is>
      </c>
      <c r="R13" t="inlineStr">
        <is>
          <t>dog harness</t>
        </is>
      </c>
      <c r="S13" t="inlineStr">
        <is>
          <t>https://harnais-chien-expert.fr/products/harnais-chien-actif-respirant</t>
        </is>
      </c>
      <c r="T13" t="inlineStr">
        <is>
          <t>https://cdn.shopify.com/s/files/1/0992/8553/3046/files/harnais-chien-actif-respirant-rouge-lifestyle.webp?v=1787815599</t>
        </is>
      </c>
    </row>
    <row r="14">
      <c r="A14" t="inlineStr">
        <is>
          <t>Harnais Tactique Chien Entraînement</t>
        </is>
      </c>
      <c r="B14" s="2" t="n">
        <v>59.99</v>
      </c>
      <c r="C14" s="2" t="n">
        <v>79.98999999999999</v>
      </c>
      <c r="D14" s="3" t="n">
        <v>11.02</v>
      </c>
      <c r="E14" s="4" t="inlineStr">
        <is>
          <t>Recherche à vérifier</t>
        </is>
      </c>
      <c r="F14" s="2">
        <f>IF(D14&lt;10,1.99,0)</f>
        <v/>
      </c>
      <c r="G14" s="3" t="n">
        <v>3.6</v>
      </c>
      <c r="H14" s="2">
        <f>D14+F14+G14</f>
        <v/>
      </c>
      <c r="I14" s="5">
        <f>B14/H14</f>
        <v/>
      </c>
      <c r="J14" s="2" t="n">
        <v>39.99</v>
      </c>
      <c r="K14" s="5">
        <f>J14/H14</f>
        <v/>
      </c>
      <c r="L14" s="6" t="inlineStr">
        <is>
          <t>Tactique → repositionné sur 39,99–44,99 € (Rabbitgoo Amazon 27–41 €). Prix barré actuel = -25% : hors fourchette réaliste (-15/-25 %), risque Omnibus. Prix barré possible à 48.99 € seulement si ce prix a réellement été pratiqué les 30 derniers jours (Omnibus).</t>
        </is>
      </c>
      <c r="M14" t="inlineStr">
        <is>
          <t>BAISSER</t>
        </is>
      </c>
      <c r="N14" t="inlineStr">
        <is>
          <t>tactique</t>
        </is>
      </c>
      <c r="O14" s="2" t="n">
        <v>48.99</v>
      </c>
      <c r="P14" t="inlineStr">
        <is>
          <t>Coût par article Shopify — taille M</t>
        </is>
      </c>
      <c r="Q14" t="inlineStr">
        <is>
          <t>NON VÉRIFIÉ (accès AliExpress bloqué)</t>
        </is>
      </c>
      <c r="R14" t="inlineStr">
        <is>
          <t>tactical dog harness molle</t>
        </is>
      </c>
      <c r="S14" t="inlineStr">
        <is>
          <t>https://harnais-chien-expert.fr/products/harnais-tactique-chien-entrainement</t>
        </is>
      </c>
      <c r="T14" t="inlineStr">
        <is>
          <t>https://cdn.shopify.com/s/files/1/0992/8553/3046/files/harnais-tactique-chien-entrainement-camouflage.webp?v=1787815604</t>
        </is>
      </c>
    </row>
    <row r="15">
      <c r="A15" t="inlineStr">
        <is>
          <t>Harnais Chiot Respirant Multicolore</t>
        </is>
      </c>
      <c r="B15" s="2" t="n">
        <v>49.99</v>
      </c>
      <c r="C15" s="2" t="n">
        <v>69.98999999999999</v>
      </c>
      <c r="D15" s="3" t="n">
        <v>14.11</v>
      </c>
      <c r="E15" s="4" t="inlineStr">
        <is>
          <t>Recherche à vérifier</t>
        </is>
      </c>
      <c r="F15" s="2">
        <f>IF(D15&lt;10,1.99,0)</f>
        <v/>
      </c>
      <c r="G15" s="3" t="n">
        <v>3.6</v>
      </c>
      <c r="H15" s="2">
        <f>D15+F15+G15</f>
        <v/>
      </c>
      <c r="I15" s="5">
        <f>B15/H15</f>
        <v/>
      </c>
      <c r="J15" s="2" t="n">
        <v>44.99</v>
      </c>
      <c r="K15" s="5">
        <f>J15/H15</f>
        <v/>
      </c>
      <c r="L15" s="6" t="inlineStr">
        <is>
          <t>Prix barré actuel = -29% : hors fourchette réaliste (-15/-25 %), risque Omnibus.</t>
        </is>
      </c>
      <c r="M15" t="inlineStr">
        <is>
          <t>BAISSER</t>
        </is>
      </c>
      <c r="N15" t="inlineStr">
        <is>
          <t>entrée</t>
        </is>
      </c>
      <c r="O15" s="2" t="n">
        <v>55.99</v>
      </c>
      <c r="P15" t="inlineStr">
        <is>
          <t>Coût par article Shopify — taille M</t>
        </is>
      </c>
      <c r="Q15" t="inlineStr">
        <is>
          <t>NON VÉRIFIÉ (accès AliExpress bloqué)</t>
        </is>
      </c>
      <c r="R15" t="inlineStr">
        <is>
          <t>puppy harness mesh breathable</t>
        </is>
      </c>
      <c r="S15" t="inlineStr">
        <is>
          <t>https://harnais-chien-expert.fr/products/harnais-chiot-respirant-multicolore</t>
        </is>
      </c>
      <c r="T15" t="inlineStr">
        <is>
          <t>https://cdn.shopify.com/s/files/1/0992/8553/3046/files/harnais-chiot-respirant-multicolore-vert-olive.webp?v=1787819371</t>
        </is>
      </c>
    </row>
    <row r="16">
      <c r="A16" t="inlineStr">
        <is>
          <t>Harnais Chiot Maille Respirante</t>
        </is>
      </c>
      <c r="B16" s="2" t="n">
        <v>39.99</v>
      </c>
      <c r="C16" s="2" t="n">
        <v>59.99</v>
      </c>
      <c r="D16" s="3" t="n">
        <v>4.81</v>
      </c>
      <c r="E16" s="4" t="inlineStr">
        <is>
          <t>Recherche à vérifier</t>
        </is>
      </c>
      <c r="F16" s="2">
        <f>IF(D16&lt;10,1.99,0)</f>
        <v/>
      </c>
      <c r="G16" s="3" t="n">
        <v>3.6</v>
      </c>
      <c r="H16" s="2">
        <f>D16+F16+G16</f>
        <v/>
      </c>
      <c r="I16" s="5">
        <f>B16/H16</f>
        <v/>
      </c>
      <c r="J16" s="2" t="n">
        <v>34.99</v>
      </c>
      <c r="K16" s="5">
        <f>J16/H16</f>
        <v/>
      </c>
      <c r="L16" s="6" t="inlineStr">
        <is>
          <t>Prix barré actuel = -33% : hors fourchette réaliste (-15/-25 %), risque Omnibus.</t>
        </is>
      </c>
      <c r="M16" t="inlineStr">
        <is>
          <t>BAISSER</t>
        </is>
      </c>
      <c r="N16" t="inlineStr">
        <is>
          <t>entrée</t>
        </is>
      </c>
      <c r="O16" s="2" t="n">
        <v>42.99</v>
      </c>
      <c r="P16" t="inlineStr">
        <is>
          <t>Coût par article Shopify — taille M</t>
        </is>
      </c>
      <c r="Q16" t="inlineStr">
        <is>
          <t>NON VÉRIFIÉ (accès AliExpress bloqué)</t>
        </is>
      </c>
      <c r="R16" t="inlineStr">
        <is>
          <t>puppy harness mesh breathable</t>
        </is>
      </c>
      <c r="S16" t="inlineStr">
        <is>
          <t>https://harnais-chien-expert.fr/products/harnais-chiot-maille-respirante</t>
        </is>
      </c>
      <c r="T16" t="inlineStr">
        <is>
          <t>https://cdn.shopify.com/s/files/1/0992/8553/3046/files/harnais-chiot-maille-respirante-camouflage-marron.webp?v=1787819407</t>
        </is>
      </c>
    </row>
    <row r="17">
      <c r="A17" t="inlineStr">
        <is>
          <t>Harnais Chiot Souple Respirant</t>
        </is>
      </c>
      <c r="B17" s="2" t="n">
        <v>39.99</v>
      </c>
      <c r="C17" s="2" t="n">
        <v>59.99</v>
      </c>
      <c r="D17" s="3" t="n">
        <v>4.08</v>
      </c>
      <c r="E17" s="4" t="inlineStr">
        <is>
          <t>Recherche à vérifier</t>
        </is>
      </c>
      <c r="F17" s="2">
        <f>IF(D17&lt;10,1.99,0)</f>
        <v/>
      </c>
      <c r="G17" s="3" t="n">
        <v>3.6</v>
      </c>
      <c r="H17" s="2">
        <f>D17+F17+G17</f>
        <v/>
      </c>
      <c r="I17" s="5">
        <f>B17/H17</f>
        <v/>
      </c>
      <c r="J17" s="2" t="n">
        <v>34.99</v>
      </c>
      <c r="K17" s="5">
        <f>J17/H17</f>
        <v/>
      </c>
      <c r="L17" s="6" t="inlineStr">
        <is>
          <t>Prix barré actuel = -33% : hors fourchette réaliste (-15/-25 %), risque Omnibus.</t>
        </is>
      </c>
      <c r="M17" t="inlineStr">
        <is>
          <t>BAISSER</t>
        </is>
      </c>
      <c r="N17" t="inlineStr">
        <is>
          <t>entrée</t>
        </is>
      </c>
      <c r="O17" s="2" t="n">
        <v>42.99</v>
      </c>
      <c r="P17" t="inlineStr">
        <is>
          <t>Coût par article Shopify — taille M</t>
        </is>
      </c>
      <c r="Q17" t="inlineStr">
        <is>
          <t>NON VÉRIFIÉ (accès AliExpress bloqué)</t>
        </is>
      </c>
      <c r="R17" t="inlineStr">
        <is>
          <t>puppy harness mesh breathable</t>
        </is>
      </c>
      <c r="S17" t="inlineStr">
        <is>
          <t>https://harnais-chien-expert.fr/products/harnais-chiot-souple-respirant</t>
        </is>
      </c>
      <c r="T17" t="inlineStr">
        <is>
          <t>https://cdn.shopify.com/s/files/1/0992/8553/3046/files/harnais-chiot-souple-respirant-lifestyle.webp?v=1787819475</t>
        </is>
      </c>
    </row>
    <row r="18">
      <c r="A18" t="inlineStr">
        <is>
          <t>Harnais Chien Poignée Polyvalent</t>
        </is>
      </c>
      <c r="B18" s="2" t="n">
        <v>39.99</v>
      </c>
      <c r="C18" s="2" t="n">
        <v>59.99</v>
      </c>
      <c r="D18" s="3" t="n">
        <v>7.78</v>
      </c>
      <c r="E18" s="4" t="inlineStr">
        <is>
          <t>Recherche à vérifier</t>
        </is>
      </c>
      <c r="F18" s="2">
        <f>IF(D18&lt;10,1.99,0)</f>
        <v/>
      </c>
      <c r="G18" s="3" t="n">
        <v>3.6</v>
      </c>
      <c r="H18" s="2">
        <f>D18+F18+G18</f>
        <v/>
      </c>
      <c r="I18" s="5">
        <f>B18/H18</f>
        <v/>
      </c>
      <c r="J18" s="2" t="n">
        <v>44.99</v>
      </c>
      <c r="K18" s="5">
        <f>J18/H18</f>
        <v/>
      </c>
      <c r="L18" s="6" t="inlineStr">
        <is>
          <t>Prix barré actuel = -33% : hors fourchette réaliste (-15/-25 %), risque Omnibus.</t>
        </is>
      </c>
      <c r="M18" t="inlineStr">
        <is>
          <t>AUGMENTER</t>
        </is>
      </c>
      <c r="N18" t="inlineStr">
        <is>
          <t>cœur</t>
        </is>
      </c>
      <c r="O18" s="2" t="n">
        <v>55.99</v>
      </c>
      <c r="P18" t="inlineStr">
        <is>
          <t>Coût par article Shopify — taille M</t>
        </is>
      </c>
      <c r="Q18" t="inlineStr">
        <is>
          <t>NON VÉRIFIÉ (accès AliExpress bloqué)</t>
        </is>
      </c>
      <c r="R18" t="inlineStr">
        <is>
          <t>dog harness</t>
        </is>
      </c>
      <c r="S18" t="inlineStr">
        <is>
          <t>https://harnais-chien-expert.fr/products/harnais-chien-poignee-polyvalent</t>
        </is>
      </c>
      <c r="T18" t="inlineStr">
        <is>
          <t>https://cdn.shopify.com/s/files/1/0992/8553/3046/files/harnais-chien-poignee-polyvalent-noir.webp?v=1787819480</t>
        </is>
      </c>
    </row>
    <row r="19">
      <c r="A19" t="inlineStr">
        <is>
          <t>Harnais Tactique Chien Modulable</t>
        </is>
      </c>
      <c r="B19" s="2" t="n">
        <v>59.99</v>
      </c>
      <c r="C19" s="2" t="n"/>
      <c r="D19" s="3" t="n">
        <v>14.76</v>
      </c>
      <c r="E19" s="4" t="inlineStr">
        <is>
          <t>Recherche à vérifier</t>
        </is>
      </c>
      <c r="F19" s="2">
        <f>IF(D19&lt;10,1.99,0)</f>
        <v/>
      </c>
      <c r="G19" s="3" t="n">
        <v>3.6</v>
      </c>
      <c r="H19" s="2">
        <f>D19+F19+G19</f>
        <v/>
      </c>
      <c r="I19" s="5">
        <f>B19/H19</f>
        <v/>
      </c>
      <c r="J19" s="2" t="n">
        <v>49.99</v>
      </c>
      <c r="K19" s="5">
        <f>J19/H19</f>
        <v/>
      </c>
      <c r="L19" s="6" t="inlineStr">
        <is>
          <t>Tactique : marge insuffisante pour descendre à 44,99 €. Coût très variable selon la variante (14.43–20.42 €) : vérifier la marge sur les grandes tailles.</t>
        </is>
      </c>
      <c r="M19" t="inlineStr">
        <is>
          <t>BAISSER</t>
        </is>
      </c>
      <c r="N19" t="inlineStr">
        <is>
          <t>tactique</t>
        </is>
      </c>
      <c r="O19" s="2" t="n">
        <v>61.99</v>
      </c>
      <c r="P19" t="inlineStr">
        <is>
          <t>Coût par article Shopify — taille M</t>
        </is>
      </c>
      <c r="Q19" t="inlineStr">
        <is>
          <t>NON VÉRIFIÉ (accès AliExpress bloqué)</t>
        </is>
      </c>
      <c r="R19" t="inlineStr">
        <is>
          <t>tactical dog harness molle</t>
        </is>
      </c>
      <c r="S19" t="inlineStr">
        <is>
          <t>https://harnais-chien-expert.fr/products/harnais-tactique-chien-modulable</t>
        </is>
      </c>
      <c r="T19" t="inlineStr">
        <is>
          <t>https://cdn.shopify.com/s/files/1/0992/8553/3046/files/harnais-tactique-chien-modulable-vert-olive.webp?v=1787820887</t>
        </is>
      </c>
    </row>
    <row r="20">
      <c r="A20" t="inlineStr">
        <is>
          <t>Harnais Petit Chien Tactique Léger</t>
        </is>
      </c>
      <c r="B20" s="2" t="n">
        <v>49.99</v>
      </c>
      <c r="C20" s="2" t="n"/>
      <c r="D20" s="3" t="n">
        <v>6.42</v>
      </c>
      <c r="E20" s="4" t="inlineStr">
        <is>
          <t>Recherche à vérifier</t>
        </is>
      </c>
      <c r="F20" s="2">
        <f>IF(D20&lt;10,1.99,0)</f>
        <v/>
      </c>
      <c r="G20" s="3" t="n">
        <v>3.6</v>
      </c>
      <c r="H20" s="2">
        <f>D20+F20+G20</f>
        <v/>
      </c>
      <c r="I20" s="5">
        <f>B20/H20</f>
        <v/>
      </c>
      <c r="J20" s="2" t="n">
        <v>39.99</v>
      </c>
      <c r="K20" s="5">
        <f>J20/H20</f>
        <v/>
      </c>
      <c r="L20" s="6" t="inlineStr">
        <is>
          <t>Tactique → repositionné sur 39,99–44,99 € (Rabbitgoo Amazon 27–41 €). Prix barré possible à 48.99 € seulement si ce prix a réellement été pratiqué les 30 derniers jours (Omnibus).</t>
        </is>
      </c>
      <c r="M20" t="inlineStr">
        <is>
          <t>BAISSER</t>
        </is>
      </c>
      <c r="N20" t="inlineStr">
        <is>
          <t>tactique</t>
        </is>
      </c>
      <c r="O20" s="2" t="n">
        <v>48.99</v>
      </c>
      <c r="P20" t="inlineStr">
        <is>
          <t>Coût par article Shopify — toutes variantes</t>
        </is>
      </c>
      <c r="Q20" t="inlineStr">
        <is>
          <t>NON VÉRIFIÉ (accès AliExpress bloqué)</t>
        </is>
      </c>
      <c r="R20" t="inlineStr">
        <is>
          <t>tactical dog harness molle</t>
        </is>
      </c>
      <c r="S20" t="inlineStr">
        <is>
          <t>https://harnais-chien-expert.fr/products/harnais-petit-chien-tactique-leger</t>
        </is>
      </c>
      <c r="T20" t="inlineStr">
        <is>
          <t>https://cdn.shopify.com/s/files/1/0992/8553/3046/files/harnais-petit-chien-tactique-leger-camouflage-desert.webp?v=1787826428</t>
        </is>
      </c>
    </row>
    <row r="21">
      <c r="A21" t="inlineStr">
        <is>
          <t>Harnais Tactique Chien Oxford</t>
        </is>
      </c>
      <c r="B21" s="2" t="n">
        <v>49.99</v>
      </c>
      <c r="C21" s="2" t="n">
        <v>69.98999999999999</v>
      </c>
      <c r="D21" s="3" t="n">
        <v>8.710000000000001</v>
      </c>
      <c r="E21" s="4" t="inlineStr">
        <is>
          <t>Recherche à vérifier</t>
        </is>
      </c>
      <c r="F21" s="2">
        <f>IF(D21&lt;10,1.99,0)</f>
        <v/>
      </c>
      <c r="G21" s="3" t="n">
        <v>3.6</v>
      </c>
      <c r="H21" s="2">
        <f>D21+F21+G21</f>
        <v/>
      </c>
      <c r="I21" s="5">
        <f>B21/H21</f>
        <v/>
      </c>
      <c r="J21" s="2" t="n">
        <v>39.99</v>
      </c>
      <c r="K21" s="5">
        <f>J21/H21</f>
        <v/>
      </c>
      <c r="L21" s="6" t="inlineStr">
        <is>
          <t>Tactique → repositionné sur 39,99–44,99 € (Rabbitgoo Amazon 27–41 €). Prix barré actuel = -29% : hors fourchette réaliste (-15/-25 %), risque Omnibus. Prix barré possible à 48.99 € seulement si ce prix a réellement été pratiqué les 30 derniers jours (Omnibus).</t>
        </is>
      </c>
      <c r="M21" t="inlineStr">
        <is>
          <t>BAISSER</t>
        </is>
      </c>
      <c r="N21" t="inlineStr">
        <is>
          <t>tactique</t>
        </is>
      </c>
      <c r="O21" s="2" t="n">
        <v>48.99</v>
      </c>
      <c r="P21" t="inlineStr">
        <is>
          <t>Coût par article Shopify — taille M</t>
        </is>
      </c>
      <c r="Q21" t="inlineStr">
        <is>
          <t>NON VÉRIFIÉ (accès AliExpress bloqué)</t>
        </is>
      </c>
      <c r="R21" t="inlineStr">
        <is>
          <t>tactical dog harness molle</t>
        </is>
      </c>
      <c r="S21" t="inlineStr">
        <is>
          <t>https://harnais-chien-expert.fr/products/harnais-tactique-chien-oxford</t>
        </is>
      </c>
      <c r="T21" t="inlineStr">
        <is>
          <t>https://cdn.shopify.com/s/files/1/0992/8553/3046/files/harnais-tactique-chien-oxford-kaki.webp?v=1787821489</t>
        </is>
      </c>
    </row>
    <row r="22">
      <c r="A22" t="inlineStr">
        <is>
          <t>Harnais Tactique Chien Molle</t>
        </is>
      </c>
      <c r="B22" s="2" t="n">
        <v>59.99</v>
      </c>
      <c r="C22" s="2" t="n">
        <v>79.98999999999999</v>
      </c>
      <c r="D22" s="3" t="n">
        <v>20.28</v>
      </c>
      <c r="E22" s="4" t="inlineStr">
        <is>
          <t>Recherche à vérifier</t>
        </is>
      </c>
      <c r="F22" s="2">
        <f>IF(D22&lt;10,1.99,0)</f>
        <v/>
      </c>
      <c r="G22" s="3" t="n">
        <v>3.6</v>
      </c>
      <c r="H22" s="2">
        <f>D22+F22+G22</f>
        <v/>
      </c>
      <c r="I22" s="5">
        <f>B22/H22</f>
        <v/>
      </c>
      <c r="J22" s="2" t="n">
        <v>59.99</v>
      </c>
      <c r="K22" s="5">
        <f>J22/H22</f>
        <v/>
      </c>
      <c r="L22" s="6" t="inlineStr">
        <is>
          <t>Tactique : marge insuffisante pour descendre à 44,99 €. Prix barré actuel = -25% : hors fourchette réaliste (-15/-25 %), risque Omnibus.</t>
        </is>
      </c>
      <c r="M22" t="inlineStr">
        <is>
          <t>GARDER</t>
        </is>
      </c>
      <c r="N22" t="inlineStr">
        <is>
          <t>tactique</t>
        </is>
      </c>
      <c r="O22" s="2" t="n">
        <v>73.98999999999999</v>
      </c>
      <c r="P22" t="inlineStr">
        <is>
          <t>Coût par article Shopify — taille M</t>
        </is>
      </c>
      <c r="Q22" t="inlineStr">
        <is>
          <t>NON VÉRIFIÉ (accès AliExpress bloqué)</t>
        </is>
      </c>
      <c r="R22" t="inlineStr">
        <is>
          <t>tactical dog harness molle</t>
        </is>
      </c>
      <c r="S22" t="inlineStr">
        <is>
          <t>https://harnais-chien-expert.fr/products/harnais-tactique-chien-molle</t>
        </is>
      </c>
      <c r="T22" t="inlineStr">
        <is>
          <t>https://cdn.shopify.com/s/files/1/0992/8553/3046/files/harnais-tactique-chien-molle-camouflage-vue-dos.webp?v=1787821575</t>
        </is>
      </c>
    </row>
    <row r="23">
      <c r="A23" t="inlineStr">
        <is>
          <t>Harnais Tactique Chien Patchs</t>
        </is>
      </c>
      <c r="B23" s="2" t="n">
        <v>59.99</v>
      </c>
      <c r="C23" s="2" t="n"/>
      <c r="D23" s="3" t="n">
        <v>10.15</v>
      </c>
      <c r="E23" s="4" t="inlineStr">
        <is>
          <t>Recherche à vérifier</t>
        </is>
      </c>
      <c r="F23" s="2">
        <f>IF(D23&lt;10,1.99,0)</f>
        <v/>
      </c>
      <c r="G23" s="3" t="n">
        <v>3.6</v>
      </c>
      <c r="H23" s="2">
        <f>D23+F23+G23</f>
        <v/>
      </c>
      <c r="I23" s="5">
        <f>B23/H23</f>
        <v/>
      </c>
      <c r="J23" s="2" t="n">
        <v>39.99</v>
      </c>
      <c r="K23" s="5">
        <f>J23/H23</f>
        <v/>
      </c>
      <c r="L23" s="6" t="inlineStr">
        <is>
          <t>Tactique → repositionné sur 39,99–44,99 € (Rabbitgoo Amazon 27–41 €). Coût très variable selon la variante (8.91–13.39 €) : vérifier la marge sur les grandes tailles. Prix barré possible à 48.99 € seulement si ce prix a réellement été pratiqué les 30 derniers jours (Omnibus).</t>
        </is>
      </c>
      <c r="M23" t="inlineStr">
        <is>
          <t>BAISSER</t>
        </is>
      </c>
      <c r="N23" t="inlineStr">
        <is>
          <t>tactique</t>
        </is>
      </c>
      <c r="O23" s="2" t="n">
        <v>48.99</v>
      </c>
      <c r="P23" t="inlineStr">
        <is>
          <t>Coût par article Shopify — taille M</t>
        </is>
      </c>
      <c r="Q23" t="inlineStr">
        <is>
          <t>NON VÉRIFIÉ (accès AliExpress bloqué)</t>
        </is>
      </c>
      <c r="R23" t="inlineStr">
        <is>
          <t>tactical dog harness molle</t>
        </is>
      </c>
      <c r="S23" t="inlineStr">
        <is>
          <t>https://harnais-chien-expert.fr/products/harnais-tactique-chien-patchs</t>
        </is>
      </c>
      <c r="T23" t="inlineStr">
        <is>
          <t>https://cdn.shopify.com/s/files/1/0992/8553/3046/files/harnais-tactique-chien-patchs-camouflage-desert.webp?v=1787821728</t>
        </is>
      </c>
    </row>
    <row r="24">
      <c r="A24" t="inlineStr">
        <is>
          <t>Harnais Tactique Chien Coloré</t>
        </is>
      </c>
      <c r="B24" s="2" t="n">
        <v>49.99</v>
      </c>
      <c r="C24" s="2" t="n">
        <v>69.98999999999999</v>
      </c>
      <c r="D24" s="3" t="n">
        <v>9.65</v>
      </c>
      <c r="E24" s="4" t="inlineStr">
        <is>
          <t>Recherche à vérifier</t>
        </is>
      </c>
      <c r="F24" s="2">
        <f>IF(D24&lt;10,1.99,0)</f>
        <v/>
      </c>
      <c r="G24" s="3" t="n">
        <v>3.6</v>
      </c>
      <c r="H24" s="2">
        <f>D24+F24+G24</f>
        <v/>
      </c>
      <c r="I24" s="5">
        <f>B24/H24</f>
        <v/>
      </c>
      <c r="J24" s="2" t="n">
        <v>39.99</v>
      </c>
      <c r="K24" s="5">
        <f>J24/H24</f>
        <v/>
      </c>
      <c r="L24" s="6" t="inlineStr">
        <is>
          <t>Tactique → repositionné sur 39,99–44,99 € (Rabbitgoo Amazon 27–41 €). Prix barré actuel = -29% : hors fourchette réaliste (-15/-25 %), risque Omnibus. Prix barré possible à 48.99 € seulement si ce prix a réellement été pratiqué les 30 derniers jours (Omnibus).</t>
        </is>
      </c>
      <c r="M24" t="inlineStr">
        <is>
          <t>BAISSER</t>
        </is>
      </c>
      <c r="N24" t="inlineStr">
        <is>
          <t>tactique</t>
        </is>
      </c>
      <c r="O24" s="2" t="n">
        <v>48.99</v>
      </c>
      <c r="P24" t="inlineStr">
        <is>
          <t>Coût par article Shopify — taille M</t>
        </is>
      </c>
      <c r="Q24" t="inlineStr">
        <is>
          <t>NON VÉRIFIÉ (accès AliExpress bloqué)</t>
        </is>
      </c>
      <c r="R24" t="inlineStr">
        <is>
          <t>tactical dog harness molle</t>
        </is>
      </c>
      <c r="S24" t="inlineStr">
        <is>
          <t>https://harnais-chien-expert.fr/products/harnais-tactique-chien-colore</t>
        </is>
      </c>
      <c r="T24" t="inlineStr">
        <is>
          <t>https://cdn.shopify.com/s/files/1/0992/8553/3046/files/harnais-tactique-chien-colore-camouflage.webp?v=1787821747</t>
        </is>
      </c>
    </row>
    <row r="25">
      <c r="A25" t="inlineStr">
        <is>
          <t>Harnais Tactique Chien Pochettes</t>
        </is>
      </c>
      <c r="B25" s="2" t="n">
        <v>59.99</v>
      </c>
      <c r="C25" s="2" t="n">
        <v>79.98999999999999</v>
      </c>
      <c r="D25" s="3" t="n">
        <v>21.77</v>
      </c>
      <c r="E25" s="4" t="inlineStr">
        <is>
          <t>Recherche à vérifier</t>
        </is>
      </c>
      <c r="F25" s="2">
        <f>IF(D25&lt;10,1.99,0)</f>
        <v/>
      </c>
      <c r="G25" s="3" t="n">
        <v>3.6</v>
      </c>
      <c r="H25" s="2">
        <f>D25+F25+G25</f>
        <v/>
      </c>
      <c r="I25" s="5">
        <f>B25/H25</f>
        <v/>
      </c>
      <c r="J25" s="2" t="n">
        <v>59.99</v>
      </c>
      <c r="K25" s="5">
        <f>J25/H25</f>
        <v/>
      </c>
      <c r="L25" s="6" t="inlineStr">
        <is>
          <t>Coef. 2,5 impossible sous le plafond 59.99 € (il faudrait ≥ 63.99 €) : renégocier le fournisseur ou en trouver un moins cher. Tactique : marge insuffisante pour descendre à 44,99 €. Prix barré actuel = -25% : hors fourchette réaliste (-15/-25 %), risque Omnibus.</t>
        </is>
      </c>
      <c r="M25" t="inlineStr">
        <is>
          <t>GARDER (marge faible)</t>
        </is>
      </c>
      <c r="N25" t="inlineStr">
        <is>
          <t>tactique</t>
        </is>
      </c>
      <c r="O25" s="2" t="n">
        <v>73.98999999999999</v>
      </c>
      <c r="P25" t="inlineStr">
        <is>
          <t>Coût par article Shopify — taille M</t>
        </is>
      </c>
      <c r="Q25" t="inlineStr">
        <is>
          <t>NON VÉRIFIÉ (accès AliExpress bloqué)</t>
        </is>
      </c>
      <c r="R25" t="inlineStr">
        <is>
          <t>tactical dog harness molle</t>
        </is>
      </c>
      <c r="S25" t="inlineStr">
        <is>
          <t>https://harnais-chien-expert.fr/products/harnais-tactique-chien-pochettes</t>
        </is>
      </c>
      <c r="T25" t="inlineStr">
        <is>
          <t>https://cdn.shopify.com/s/files/1/0992/8553/3046/files/harnais-tactique-chien-pochettes-vert-olive.webp?v=1787822396</t>
        </is>
      </c>
    </row>
    <row r="26">
      <c r="A26" t="inlineStr">
        <is>
          <t>Harnais 3 Points Veste</t>
        </is>
      </c>
      <c r="B26" s="2" t="n">
        <v>54.99</v>
      </c>
      <c r="C26" s="2" t="n"/>
      <c r="D26" s="3" t="n">
        <v>16.95</v>
      </c>
      <c r="E26" s="4" t="inlineStr">
        <is>
          <t>Recherche à vérifier</t>
        </is>
      </c>
      <c r="F26" s="2">
        <f>IF(D26&lt;10,1.99,0)</f>
        <v/>
      </c>
      <c r="G26" s="3" t="n">
        <v>3.6</v>
      </c>
      <c r="H26" s="2">
        <f>D26+F26+G26</f>
        <v/>
      </c>
      <c r="I26" s="5">
        <f>B26/H26</f>
        <v/>
      </c>
      <c r="J26" s="2" t="n">
        <v>59.99</v>
      </c>
      <c r="K26" s="5">
        <f>J26/H26</f>
        <v/>
      </c>
      <c r="L26" s="6" t="inlineStr"/>
      <c r="M26" t="inlineStr">
        <is>
          <t>AUGMENTER</t>
        </is>
      </c>
      <c r="N26" t="inlineStr">
        <is>
          <t>cœur</t>
        </is>
      </c>
      <c r="O26" s="2" t="n">
        <v>73.98999999999999</v>
      </c>
      <c r="P26" t="inlineStr">
        <is>
          <t>Coût par article Shopify — taille M</t>
        </is>
      </c>
      <c r="Q26" t="inlineStr">
        <is>
          <t>NON VÉRIFIÉ (accès AliExpress bloqué)</t>
        </is>
      </c>
      <c r="R26" t="inlineStr">
        <is>
          <t>escape proof dog harness 3 point</t>
        </is>
      </c>
      <c r="S26" t="inlineStr">
        <is>
          <t>https://harnais-chien-expert.fr/products/harnais-3-points-veste</t>
        </is>
      </c>
      <c r="T26" t="inlineStr">
        <is>
          <t>https://cdn.shopify.com/s/files/1/0992/8553/3046/files/harnais-chien-poignee-maintien-renforce-vert.webp?v=1787822411</t>
        </is>
      </c>
    </row>
    <row r="27">
      <c r="A27" t="inlineStr">
        <is>
          <t>Harnais 3 Points Imperméable</t>
        </is>
      </c>
      <c r="B27" s="2" t="n">
        <v>54.99</v>
      </c>
      <c r="C27" s="2" t="n"/>
      <c r="D27" s="3" t="n">
        <v>18.5</v>
      </c>
      <c r="E27" s="4" t="inlineStr">
        <is>
          <t>Recherche à vérifier</t>
        </is>
      </c>
      <c r="F27" s="2">
        <f>IF(D27&lt;10,1.99,0)</f>
        <v/>
      </c>
      <c r="G27" s="3" t="n">
        <v>3.6</v>
      </c>
      <c r="H27" s="2">
        <f>D27+F27+G27</f>
        <v/>
      </c>
      <c r="I27" s="5">
        <f>B27/H27</f>
        <v/>
      </c>
      <c r="J27" s="2" t="n">
        <v>59.99</v>
      </c>
      <c r="K27" s="5">
        <f>J27/H27</f>
        <v/>
      </c>
      <c r="L27" s="6" t="inlineStr"/>
      <c r="M27" t="inlineStr">
        <is>
          <t>AUGMENTER</t>
        </is>
      </c>
      <c r="N27" t="inlineStr">
        <is>
          <t>cœur</t>
        </is>
      </c>
      <c r="O27" s="2" t="n">
        <v>73.98999999999999</v>
      </c>
      <c r="P27" t="inlineStr">
        <is>
          <t>Coût par article Shopify — taille M</t>
        </is>
      </c>
      <c r="Q27" t="inlineStr">
        <is>
          <t>NON VÉRIFIÉ (accès AliExpress bloqué)</t>
        </is>
      </c>
      <c r="R27" t="inlineStr">
        <is>
          <t>escape proof dog harness 3 point</t>
        </is>
      </c>
      <c r="S27" t="inlineStr">
        <is>
          <t>https://harnais-chien-expert.fr/products/harnais-3-points-impermeable</t>
        </is>
      </c>
      <c r="T27" t="inlineStr">
        <is>
          <t>https://cdn.shopify.com/s/files/1/0992/8553/3046/files/harnais-randonnee-impermeable-kaki.webp?v=1787822421</t>
        </is>
      </c>
    </row>
    <row r="28">
      <c r="A28" t="inlineStr">
        <is>
          <t>Harnais Chiot Veste Respirante</t>
        </is>
      </c>
      <c r="B28" s="2" t="n">
        <v>39.99</v>
      </c>
      <c r="C28" s="2" t="n">
        <v>59.99</v>
      </c>
      <c r="D28" s="3" t="n">
        <v>5</v>
      </c>
      <c r="E28" s="4" t="inlineStr">
        <is>
          <t>Recherche à vérifier</t>
        </is>
      </c>
      <c r="F28" s="2">
        <f>IF(D28&lt;10,1.99,0)</f>
        <v/>
      </c>
      <c r="G28" s="3" t="n">
        <v>3.6</v>
      </c>
      <c r="H28" s="2">
        <f>D28+F28+G28</f>
        <v/>
      </c>
      <c r="I28" s="5">
        <f>B28/H28</f>
        <v/>
      </c>
      <c r="J28" s="2" t="n">
        <v>34.99</v>
      </c>
      <c r="K28" s="5">
        <f>J28/H28</f>
        <v/>
      </c>
      <c r="L28" s="6" t="inlineStr">
        <is>
          <t>Prix barré actuel = -33% : hors fourchette réaliste (-15/-25 %), risque Omnibus.</t>
        </is>
      </c>
      <c r="M28" t="inlineStr">
        <is>
          <t>BAISSER</t>
        </is>
      </c>
      <c r="N28" t="inlineStr">
        <is>
          <t>entrée</t>
        </is>
      </c>
      <c r="O28" s="2" t="n">
        <v>42.99</v>
      </c>
      <c r="P28" t="inlineStr">
        <is>
          <t>Coût par article Shopify — taille M</t>
        </is>
      </c>
      <c r="Q28" t="inlineStr">
        <is>
          <t>NON VÉRIFIÉ (accès AliExpress bloqué)</t>
        </is>
      </c>
      <c r="R28" t="inlineStr">
        <is>
          <t>puppy harness mesh breathable</t>
        </is>
      </c>
      <c r="S28" t="inlineStr">
        <is>
          <t>https://harnais-chien-expert.fr/products/harnais-chiot-veste-respirante</t>
        </is>
      </c>
      <c r="T28" t="inlineStr">
        <is>
          <t>https://cdn.shopify.com/s/files/1/0992/8553/3046/files/harnais-chiot-veste-respirante-beige.webp?v=1787822850</t>
        </is>
      </c>
    </row>
    <row r="29">
      <c r="A29" t="inlineStr">
        <is>
          <t>Harnais Petit Chien Motif Respirant</t>
        </is>
      </c>
      <c r="B29" s="2" t="n">
        <v>59.99</v>
      </c>
      <c r="C29" s="2" t="n"/>
      <c r="D29" s="3" t="n">
        <v>15.47</v>
      </c>
      <c r="E29" s="4" t="inlineStr">
        <is>
          <t>Recherche à vérifier</t>
        </is>
      </c>
      <c r="F29" s="2">
        <f>IF(D29&lt;10,1.99,0)</f>
        <v/>
      </c>
      <c r="G29" s="3" t="n">
        <v>3.6</v>
      </c>
      <c r="H29" s="2">
        <f>D29+F29+G29</f>
        <v/>
      </c>
      <c r="I29" s="5">
        <f>B29/H29</f>
        <v/>
      </c>
      <c r="J29" s="2" t="n">
        <v>49.99</v>
      </c>
      <c r="K29" s="5">
        <f>J29/H29</f>
        <v/>
      </c>
      <c r="L29" s="6" t="inlineStr"/>
      <c r="M29" t="inlineStr">
        <is>
          <t>BAISSER</t>
        </is>
      </c>
      <c r="N29" t="inlineStr">
        <is>
          <t>entrée</t>
        </is>
      </c>
      <c r="O29" s="2" t="n">
        <v>61.99</v>
      </c>
      <c r="P29" t="inlineStr">
        <is>
          <t>Coût par article Shopify — taille M</t>
        </is>
      </c>
      <c r="Q29" t="inlineStr">
        <is>
          <t>NON VÉRIFIÉ (accès AliExpress bloqué)</t>
        </is>
      </c>
      <c r="R29" t="inlineStr">
        <is>
          <t>small dog harness vest</t>
        </is>
      </c>
      <c r="S29" t="inlineStr">
        <is>
          <t>https://harnais-chien-expert.fr/products/harnais-petit-chien-motif-respirant</t>
        </is>
      </c>
      <c r="T29" t="inlineStr">
        <is>
          <t>https://cdn.shopify.com/s/files/1/0992/8553/3046/files/harnais-petit-chien-motif-respirant-camouflage.webp?v=1787822858</t>
        </is>
      </c>
    </row>
    <row r="30">
      <c r="A30" t="inlineStr">
        <is>
          <t>Harnais Chien Macaron</t>
        </is>
      </c>
      <c r="B30" s="2" t="n">
        <v>39.99</v>
      </c>
      <c r="C30" s="2" t="n">
        <v>59.99</v>
      </c>
      <c r="D30" s="3" t="n">
        <v>8.41</v>
      </c>
      <c r="E30" s="4" t="inlineStr">
        <is>
          <t>Recherche à vérifier</t>
        </is>
      </c>
      <c r="F30" s="2">
        <f>IF(D30&lt;10,1.99,0)</f>
        <v/>
      </c>
      <c r="G30" s="3" t="n">
        <v>3.6</v>
      </c>
      <c r="H30" s="2">
        <f>D30+F30+G30</f>
        <v/>
      </c>
      <c r="I30" s="5">
        <f>B30/H30</f>
        <v/>
      </c>
      <c r="J30" s="2" t="n">
        <v>39.99</v>
      </c>
      <c r="K30" s="5">
        <f>J30/H30</f>
        <v/>
      </c>
      <c r="L30" s="6" t="inlineStr">
        <is>
          <t>Prix barré actuel = -33% : hors fourchette réaliste (-15/-25 %), risque Omnibus.</t>
        </is>
      </c>
      <c r="M30" t="inlineStr">
        <is>
          <t>GARDER</t>
        </is>
      </c>
      <c r="N30" t="inlineStr">
        <is>
          <t>entrée</t>
        </is>
      </c>
      <c r="O30" s="2" t="n">
        <v>48.99</v>
      </c>
      <c r="P30" t="inlineStr">
        <is>
          <t>Coût par article Shopify — taille M</t>
        </is>
      </c>
      <c r="Q30" t="inlineStr">
        <is>
          <t>NON VÉRIFIÉ (accès AliExpress bloqué)</t>
        </is>
      </c>
      <c r="R30" t="inlineStr">
        <is>
          <t>small dog harness vest cute</t>
        </is>
      </c>
      <c r="S30" t="inlineStr">
        <is>
          <t>https://harnais-chien-expert.fr/products/harnais-chien-macaron</t>
        </is>
      </c>
      <c r="T30" t="inlineStr">
        <is>
          <t>https://cdn.shopify.com/s/files/1/0992/8553/3046/files/harnais-chien-macaron-plastron-suedine.webp?v=1787822868</t>
        </is>
      </c>
    </row>
    <row r="31">
      <c r="A31" t="inlineStr">
        <is>
          <t>Harnais Petit Chien Chic</t>
        </is>
      </c>
      <c r="B31" s="2" t="n">
        <v>59.99</v>
      </c>
      <c r="C31" s="2" t="n">
        <v>79.98999999999999</v>
      </c>
      <c r="D31" s="3" t="n">
        <v>14.25</v>
      </c>
      <c r="E31" s="4" t="inlineStr">
        <is>
          <t>Recherche à vérifier</t>
        </is>
      </c>
      <c r="F31" s="2">
        <f>IF(D31&lt;10,1.99,0)</f>
        <v/>
      </c>
      <c r="G31" s="3" t="n">
        <v>3.6</v>
      </c>
      <c r="H31" s="2">
        <f>D31+F31+G31</f>
        <v/>
      </c>
      <c r="I31" s="5">
        <f>B31/H31</f>
        <v/>
      </c>
      <c r="J31" s="2" t="n">
        <v>44.99</v>
      </c>
      <c r="K31" s="5">
        <f>J31/H31</f>
        <v/>
      </c>
      <c r="L31" s="6" t="inlineStr">
        <is>
          <t>Prix barré actuel = -25% : hors fourchette réaliste (-15/-25 %), risque Omnibus. Prix barré possible à 55.99 € seulement si ce prix a réellement été pratiqué les 30 derniers jours (Omnibus).</t>
        </is>
      </c>
      <c r="M31" t="inlineStr">
        <is>
          <t>BAISSER</t>
        </is>
      </c>
      <c r="N31" t="inlineStr">
        <is>
          <t>entrée</t>
        </is>
      </c>
      <c r="O31" s="2" t="n">
        <v>55.99</v>
      </c>
      <c r="P31" t="inlineStr">
        <is>
          <t>Coût par article Shopify — taille M</t>
        </is>
      </c>
      <c r="Q31" t="inlineStr">
        <is>
          <t>NON VÉRIFIÉ (accès AliExpress bloqué)</t>
        </is>
      </c>
      <c r="R31" t="inlineStr">
        <is>
          <t>small dog harness vest</t>
        </is>
      </c>
      <c r="S31" t="inlineStr">
        <is>
          <t>https://harnais-chien-expert.fr/products/harnais-petit-chien-chic</t>
        </is>
      </c>
      <c r="T31" t="inlineStr">
        <is>
          <t>https://cdn.shopify.com/s/files/1/0992/8553/3046/files/harnais-petit-chien-chic-benefice-principal.webp?v=1783552065</t>
        </is>
      </c>
    </row>
    <row r="32">
      <c r="A32" t="inlineStr">
        <is>
          <t>Harnais Tactique Chien Réfléchissant</t>
        </is>
      </c>
      <c r="B32" s="2" t="n">
        <v>49.99</v>
      </c>
      <c r="C32" s="2" t="n">
        <v>69.98999999999999</v>
      </c>
      <c r="D32" s="3" t="n">
        <v>10.96</v>
      </c>
      <c r="E32" s="4" t="inlineStr">
        <is>
          <t>Recherche à vérifier</t>
        </is>
      </c>
      <c r="F32" s="2">
        <f>IF(D32&lt;10,1.99,0)</f>
        <v/>
      </c>
      <c r="G32" s="3" t="n">
        <v>3.6</v>
      </c>
      <c r="H32" s="2">
        <f>D32+F32+G32</f>
        <v/>
      </c>
      <c r="I32" s="5">
        <f>B32/H32</f>
        <v/>
      </c>
      <c r="J32" s="2" t="n">
        <v>39.99</v>
      </c>
      <c r="K32" s="5">
        <f>J32/H32</f>
        <v/>
      </c>
      <c r="L32" s="6" t="inlineStr">
        <is>
          <t>Tactique → repositionné sur 39,99–44,99 € (Rabbitgoo Amazon 27–41 €). Prix barré actuel = -29% : hors fourchette réaliste (-15/-25 %), risque Omnibus. Coût très variable selon la variante (9.61–15.56 €) : vérifier la marge sur les grandes tailles. Prix barré possible à 48.99 € seulement si ce prix a réellement été pratiqué les 30 derniers jours (Omnibus).</t>
        </is>
      </c>
      <c r="M32" t="inlineStr">
        <is>
          <t>BAISSER</t>
        </is>
      </c>
      <c r="N32" t="inlineStr">
        <is>
          <t>tactique</t>
        </is>
      </c>
      <c r="O32" s="2" t="n">
        <v>48.99</v>
      </c>
      <c r="P32" t="inlineStr">
        <is>
          <t>Coût par article Shopify — taille M</t>
        </is>
      </c>
      <c r="Q32" t="inlineStr">
        <is>
          <t>NON VÉRIFIÉ (accès AliExpress bloqué)</t>
        </is>
      </c>
      <c r="R32" t="inlineStr">
        <is>
          <t>tactical dog harness molle</t>
        </is>
      </c>
      <c r="S32" t="inlineStr">
        <is>
          <t>https://harnais-chien-expert.fr/products/harnais-tactique-chien-reflechissant</t>
        </is>
      </c>
      <c r="T32" t="inlineStr">
        <is>
          <t>https://cdn.shopify.com/s/files/1/0992/8553/3046/files/harnais-tactique-chien-reflechissant-vert-olive.webp?v=1787823114</t>
        </is>
      </c>
    </row>
    <row r="33">
      <c r="A33" t="inlineStr">
        <is>
          <t>Harnais Chien Poignée Réfléchissant</t>
        </is>
      </c>
      <c r="B33" s="2" t="n">
        <v>49.99</v>
      </c>
      <c r="C33" s="2" t="n">
        <v>69.98999999999999</v>
      </c>
      <c r="D33" s="3" t="n">
        <v>10.2</v>
      </c>
      <c r="E33" s="4" t="inlineStr">
        <is>
          <t>Recherche à vérifier</t>
        </is>
      </c>
      <c r="F33" s="2">
        <f>IF(D33&lt;10,1.99,0)</f>
        <v/>
      </c>
      <c r="G33" s="3" t="n">
        <v>3.6</v>
      </c>
      <c r="H33" s="2">
        <f>D33+F33+G33</f>
        <v/>
      </c>
      <c r="I33" s="5">
        <f>B33/H33</f>
        <v/>
      </c>
      <c r="J33" s="2" t="n">
        <v>44.99</v>
      </c>
      <c r="K33" s="5">
        <f>J33/H33</f>
        <v/>
      </c>
      <c r="L33" s="6" t="inlineStr">
        <is>
          <t>Prix barré actuel = -29% : hors fourchette réaliste (-15/-25 %), risque Omnibus.</t>
        </is>
      </c>
      <c r="M33" t="inlineStr">
        <is>
          <t>BAISSER</t>
        </is>
      </c>
      <c r="N33" t="inlineStr">
        <is>
          <t>cœur</t>
        </is>
      </c>
      <c r="O33" s="2" t="n">
        <v>55.99</v>
      </c>
      <c r="P33" t="inlineStr">
        <is>
          <t>Coût par article Shopify — taille M</t>
        </is>
      </c>
      <c r="Q33" t="inlineStr">
        <is>
          <t>NON VÉRIFIÉ (accès AliExpress bloqué)</t>
        </is>
      </c>
      <c r="R33" t="inlineStr">
        <is>
          <t>reflective no pull dog harness padded</t>
        </is>
      </c>
      <c r="S33" t="inlineStr">
        <is>
          <t>https://harnais-chien-expert.fr/products/harnais-chien-poignee-reflechissant</t>
        </is>
      </c>
      <c r="T33" t="inlineStr">
        <is>
          <t>https://cdn.shopify.com/s/files/1/0992/8553/3046/files/harnais-chien-poignee-reflechissant-noir.webp?v=1788088169</t>
        </is>
      </c>
    </row>
    <row r="34">
      <c r="A34" t="inlineStr">
        <is>
          <t>Harnais Chien en Cuir</t>
        </is>
      </c>
      <c r="B34" s="2" t="n">
        <v>79.98999999999999</v>
      </c>
      <c r="C34" s="2" t="n"/>
      <c r="D34" s="3" t="n">
        <v>39.75</v>
      </c>
      <c r="E34" s="4" t="inlineStr">
        <is>
          <t>Recherche à vérifier</t>
        </is>
      </c>
      <c r="F34" s="2">
        <f>IF(D34&lt;10,1.99,0)</f>
        <v/>
      </c>
      <c r="G34" s="3" t="n">
        <v>3.6</v>
      </c>
      <c r="H34" s="2">
        <f>D34+F34+G34</f>
        <v/>
      </c>
      <c r="I34" s="5">
        <f>B34/H34</f>
        <v/>
      </c>
      <c r="J34" s="2" t="n">
        <v>59.99</v>
      </c>
      <c r="K34" s="5">
        <f>J34/H34</f>
        <v/>
      </c>
      <c r="L34" s="6" t="inlineStr">
        <is>
          <t>Même au plafond 59.99 € le coef. n'est que 1.38 (2,5 exigerait ≥ 108.99 €). Premium : plafond 59,99 € (Ruffwear Front Range ~60 €).</t>
        </is>
      </c>
      <c r="M34" t="inlineStr">
        <is>
          <t>RETIRER / changer de fournisseur</t>
        </is>
      </c>
      <c r="N34" t="inlineStr">
        <is>
          <t>premium</t>
        </is>
      </c>
      <c r="O34" s="2" t="n">
        <v>73.98999999999999</v>
      </c>
      <c r="P34" t="inlineStr">
        <is>
          <t>Coût par article Shopify — taille médiane (L)</t>
        </is>
      </c>
      <c r="Q34" t="inlineStr">
        <is>
          <t>NON VÉRIFIÉ (accès AliExpress bloqué)</t>
        </is>
      </c>
      <c r="R34" t="inlineStr">
        <is>
          <t>leather dog harness</t>
        </is>
      </c>
      <c r="S34" t="inlineStr">
        <is>
          <t>https://harnais-chien-expert.fr/products/harnais-chien-en-cuir</t>
        </is>
      </c>
      <c r="T34" t="inlineStr">
        <is>
          <t>https://cdn.shopify.com/s/files/1/0992/8553/3046/files/harnais-chien-en-cuir-marron.webp?v=1787823137</t>
        </is>
      </c>
    </row>
    <row r="35">
      <c r="A35" t="inlineStr">
        <is>
          <t>Ceinture Chien Voiture Élastique</t>
        </is>
      </c>
      <c r="B35" s="2" t="n">
        <v>19.99</v>
      </c>
      <c r="C35" s="2" t="n">
        <v>59.99</v>
      </c>
      <c r="D35" s="3" t="n">
        <v>1.99</v>
      </c>
      <c r="E35" s="4" t="inlineStr">
        <is>
          <t>Recherche à vérifier</t>
        </is>
      </c>
      <c r="F35" s="2">
        <f>IF(D35&lt;10,1.99,0)</f>
        <v/>
      </c>
      <c r="G35" s="3" t="n">
        <v>3.6</v>
      </c>
      <c r="H35" s="2">
        <f>D35+F35+G35</f>
        <v/>
      </c>
      <c r="I35" s="5">
        <f>B35/H35</f>
        <v/>
      </c>
      <c r="J35" s="2" t="n">
        <v>19.99</v>
      </c>
      <c r="K35" s="5">
        <f>J35/H35</f>
        <v/>
      </c>
      <c r="L35" s="6" t="inlineStr">
        <is>
          <t>Prix barré actuel = -67% : hors fourchette réaliste (-15/-25 %), risque Omnibus.</t>
        </is>
      </c>
      <c r="M35" t="inlineStr">
        <is>
          <t>GARDER</t>
        </is>
      </c>
      <c r="N35" t="inlineStr">
        <is>
          <t>accessoire</t>
        </is>
      </c>
      <c r="O35" s="2" t="n">
        <v>23.99</v>
      </c>
      <c r="P35" t="inlineStr">
        <is>
          <t>Coût par article Shopify — toutes variantes</t>
        </is>
      </c>
      <c r="Q35" t="inlineStr">
        <is>
          <t>NON VÉRIFIÉ (accès AliExpress bloqué)</t>
        </is>
      </c>
      <c r="R35" t="inlineStr">
        <is>
          <t>dog car seat belt</t>
        </is>
      </c>
      <c r="S35" t="inlineStr">
        <is>
          <t>https://harnais-chien-expert.fr/products/ceinture-chien-voiture-elastique</t>
        </is>
      </c>
      <c r="T35" t="inlineStr">
        <is>
          <t>https://cdn.shopify.com/s/files/1/0992/8553/3046/files/ceinture-chien-voiture-elastique-kaki.webp?v=1787824292</t>
        </is>
      </c>
    </row>
    <row r="36">
      <c r="A36" t="inlineStr">
        <is>
          <t>Harnais Petit Chien Selle Ajustable</t>
        </is>
      </c>
      <c r="B36" s="2" t="n">
        <v>39.99</v>
      </c>
      <c r="C36" s="2" t="n">
        <v>59.99</v>
      </c>
      <c r="D36" s="3" t="n">
        <v>5.7</v>
      </c>
      <c r="E36" s="4" t="inlineStr">
        <is>
          <t>Recherche à vérifier</t>
        </is>
      </c>
      <c r="F36" s="2">
        <f>IF(D36&lt;10,1.99,0)</f>
        <v/>
      </c>
      <c r="G36" s="3" t="n">
        <v>3.6</v>
      </c>
      <c r="H36" s="2">
        <f>D36+F36+G36</f>
        <v/>
      </c>
      <c r="I36" s="5">
        <f>B36/H36</f>
        <v/>
      </c>
      <c r="J36" s="2" t="n">
        <v>34.99</v>
      </c>
      <c r="K36" s="5">
        <f>J36/H36</f>
        <v/>
      </c>
      <c r="L36" s="6" t="inlineStr">
        <is>
          <t>Prix barré actuel = -33% : hors fourchette réaliste (-15/-25 %), risque Omnibus.</t>
        </is>
      </c>
      <c r="M36" t="inlineStr">
        <is>
          <t>BAISSER</t>
        </is>
      </c>
      <c r="N36" t="inlineStr">
        <is>
          <t>entrée</t>
        </is>
      </c>
      <c r="O36" s="2" t="n">
        <v>42.99</v>
      </c>
      <c r="P36" t="inlineStr">
        <is>
          <t>Coût par article Shopify — taille M</t>
        </is>
      </c>
      <c r="Q36" t="inlineStr">
        <is>
          <t>NON VÉRIFIÉ (accès AliExpress bloqué)</t>
        </is>
      </c>
      <c r="R36" t="inlineStr">
        <is>
          <t>small dog harness vest</t>
        </is>
      </c>
      <c r="S36" t="inlineStr">
        <is>
          <t>https://harnais-chien-expert.fr/products/harnais-petit-chien-selle-ajustable</t>
        </is>
      </c>
      <c r="T36" t="inlineStr">
        <is>
          <t>https://cdn.shopify.com/s/files/1/0992/8553/3046/files/harnais-petit-chien-selle-ajustable-noir-rouge.webp?v=1787824301</t>
        </is>
      </c>
    </row>
    <row r="37">
      <c r="A37" t="inlineStr">
        <is>
          <t>Attache Chien Voiture Appuie-Tête</t>
        </is>
      </c>
      <c r="B37" s="2" t="n">
        <v>19.99</v>
      </c>
      <c r="C37" s="2" t="n"/>
      <c r="D37" s="3" t="n">
        <v>3.09</v>
      </c>
      <c r="E37" s="4" t="inlineStr">
        <is>
          <t>Recherche à vérifier</t>
        </is>
      </c>
      <c r="F37" s="2">
        <f>IF(D37&lt;10,1.99,0)</f>
        <v/>
      </c>
      <c r="G37" s="3" t="n">
        <v>3.6</v>
      </c>
      <c r="H37" s="2">
        <f>D37+F37+G37</f>
        <v/>
      </c>
      <c r="I37" s="5">
        <f>B37/H37</f>
        <v/>
      </c>
      <c r="J37" s="2" t="n">
        <v>24.99</v>
      </c>
      <c r="K37" s="5">
        <f>J37/H37</f>
        <v/>
      </c>
      <c r="L37" s="6" t="inlineStr"/>
      <c r="M37" t="inlineStr">
        <is>
          <t>AUGMENTER</t>
        </is>
      </c>
      <c r="N37" t="inlineStr">
        <is>
          <t>accessoire</t>
        </is>
      </c>
      <c r="O37" s="2" t="n">
        <v>30.99</v>
      </c>
      <c r="P37" t="inlineStr">
        <is>
          <t>Coût par article Shopify — toutes variantes</t>
        </is>
      </c>
      <c r="Q37" t="inlineStr">
        <is>
          <t>NON VÉRIFIÉ (accès AliExpress bloqué)</t>
        </is>
      </c>
      <c r="R37" t="inlineStr">
        <is>
          <t>dog car headrest seat belt</t>
        </is>
      </c>
      <c r="S37" t="inlineStr">
        <is>
          <t>https://harnais-chien-expert.fr/products/attache-chien-voiture-appuie-tete</t>
        </is>
      </c>
      <c r="T37" t="inlineStr">
        <is>
          <t>https://cdn.shopify.com/s/files/1/0992/8553/3046/files/attache-chien-voiture-appuie-tete-noir.webp?v=1787824605</t>
        </is>
      </c>
    </row>
    <row r="38">
      <c r="A38" t="inlineStr">
        <is>
          <t>Ceinture Chien Voiture 2 en 1</t>
        </is>
      </c>
      <c r="B38" s="2" t="n">
        <v>19.99</v>
      </c>
      <c r="C38" s="2" t="n"/>
      <c r="D38" s="3" t="n">
        <v>4.23</v>
      </c>
      <c r="E38" s="4" t="inlineStr">
        <is>
          <t>Recherche à vérifier</t>
        </is>
      </c>
      <c r="F38" s="2">
        <f>IF(D38&lt;10,1.99,0)</f>
        <v/>
      </c>
      <c r="G38" s="3" t="n">
        <v>3.6</v>
      </c>
      <c r="H38" s="2">
        <f>D38+F38+G38</f>
        <v/>
      </c>
      <c r="I38" s="5">
        <f>B38/H38</f>
        <v/>
      </c>
      <c r="J38" s="2" t="n">
        <v>24.99</v>
      </c>
      <c r="K38" s="5">
        <f>J38/H38</f>
        <v/>
      </c>
      <c r="L38" s="6" t="inlineStr"/>
      <c r="M38" t="inlineStr">
        <is>
          <t>AUGMENTER</t>
        </is>
      </c>
      <c r="N38" t="inlineStr">
        <is>
          <t>accessoire</t>
        </is>
      </c>
      <c r="O38" s="2" t="n">
        <v>30.99</v>
      </c>
      <c r="P38" t="inlineStr">
        <is>
          <t>Coût par article Shopify — toutes variantes</t>
        </is>
      </c>
      <c r="Q38" t="inlineStr">
        <is>
          <t>NON VÉRIFIÉ (accès AliExpress bloqué)</t>
        </is>
      </c>
      <c r="R38" t="inlineStr">
        <is>
          <t>dog car seat belt</t>
        </is>
      </c>
      <c r="S38" t="inlineStr">
        <is>
          <t>https://harnais-chien-expert.fr/products/ceinture-chien-voiture-2-en-1</t>
        </is>
      </c>
      <c r="T38" t="inlineStr">
        <is>
          <t>https://cdn.shopify.com/s/files/1/0992/8553/3046/files/ceinture-chien-voiture-2-en-1-noir.webp?v=1787824617</t>
        </is>
      </c>
    </row>
    <row r="39">
      <c r="A39" t="inlineStr">
        <is>
          <t>Harnais Petit Chien Confortable</t>
        </is>
      </c>
      <c r="B39" s="2" t="n">
        <v>49.99</v>
      </c>
      <c r="C39" s="2" t="n"/>
      <c r="D39" s="3" t="n">
        <v>5.76</v>
      </c>
      <c r="E39" s="4" t="inlineStr">
        <is>
          <t>Recherche à vérifier</t>
        </is>
      </c>
      <c r="F39" s="2">
        <f>IF(D39&lt;10,1.99,0)</f>
        <v/>
      </c>
      <c r="G39" s="3" t="n">
        <v>3.6</v>
      </c>
      <c r="H39" s="2">
        <f>D39+F39+G39</f>
        <v/>
      </c>
      <c r="I39" s="5">
        <f>B39/H39</f>
        <v/>
      </c>
      <c r="J39" s="2" t="n">
        <v>34.99</v>
      </c>
      <c r="K39" s="5">
        <f>J39/H39</f>
        <v/>
      </c>
      <c r="L39" s="6" t="inlineStr">
        <is>
          <t>Prix barré possible à 42.99 € seulement si ce prix a réellement été pratiqué les 30 derniers jours (Omnibus).</t>
        </is>
      </c>
      <c r="M39" t="inlineStr">
        <is>
          <t>BAISSER</t>
        </is>
      </c>
      <c r="N39" t="inlineStr">
        <is>
          <t>entrée</t>
        </is>
      </c>
      <c r="O39" s="2" t="n">
        <v>42.99</v>
      </c>
      <c r="P39" t="inlineStr">
        <is>
          <t>Coût par article Shopify — taille M</t>
        </is>
      </c>
      <c r="Q39" t="inlineStr">
        <is>
          <t>NON VÉRIFIÉ (accès AliExpress bloqué)</t>
        </is>
      </c>
      <c r="R39" t="inlineStr">
        <is>
          <t>small dog harness vest</t>
        </is>
      </c>
      <c r="S39" t="inlineStr">
        <is>
          <t>https://harnais-chien-expert.fr/products/harnais-petit-chien-confortable</t>
        </is>
      </c>
      <c r="T39" t="inlineStr">
        <is>
          <t>https://cdn.shopify.com/s/files/1/0992/8553/3046/files/harnais-petit-chien-confortable-kaki.webp?v=1787824626</t>
        </is>
      </c>
    </row>
    <row r="40">
      <c r="A40" t="inlineStr">
        <is>
          <t>Harnais Chiot Classique Ajustable</t>
        </is>
      </c>
      <c r="B40" s="2" t="n">
        <v>49.99</v>
      </c>
      <c r="C40" s="2" t="n"/>
      <c r="D40" s="3" t="n">
        <v>5.66</v>
      </c>
      <c r="E40" s="4" t="inlineStr">
        <is>
          <t>Recherche à vérifier</t>
        </is>
      </c>
      <c r="F40" s="2">
        <f>IF(D40&lt;10,1.99,0)</f>
        <v/>
      </c>
      <c r="G40" s="3" t="n">
        <v>3.6</v>
      </c>
      <c r="H40" s="2">
        <f>D40+F40+G40</f>
        <v/>
      </c>
      <c r="I40" s="5">
        <f>B40/H40</f>
        <v/>
      </c>
      <c r="J40" s="2" t="n">
        <v>34.99</v>
      </c>
      <c r="K40" s="5">
        <f>J40/H40</f>
        <v/>
      </c>
      <c r="L40" s="6" t="inlineStr">
        <is>
          <t>Prix barré possible à 42.99 € seulement si ce prix a réellement été pratiqué les 30 derniers jours (Omnibus).</t>
        </is>
      </c>
      <c r="M40" t="inlineStr">
        <is>
          <t>BAISSER</t>
        </is>
      </c>
      <c r="N40" t="inlineStr">
        <is>
          <t>entrée</t>
        </is>
      </c>
      <c r="O40" s="2" t="n">
        <v>42.99</v>
      </c>
      <c r="P40" t="inlineStr">
        <is>
          <t>Coût par article Shopify — taille M</t>
        </is>
      </c>
      <c r="Q40" t="inlineStr">
        <is>
          <t>NON VÉRIFIÉ (accès AliExpress bloqué)</t>
        </is>
      </c>
      <c r="R40" t="inlineStr">
        <is>
          <t>puppy harness mesh breathable</t>
        </is>
      </c>
      <c r="S40" t="inlineStr">
        <is>
          <t>https://harnais-chien-expert.fr/products/harnais-chiot-classique-ajustable</t>
        </is>
      </c>
      <c r="T40" t="inlineStr">
        <is>
          <t>https://cdn.shopify.com/s/files/1/0992/8553/3046/files/harnais-chiot-classique-ajustable-beige-tartan.webp?v=1787824637</t>
        </is>
      </c>
    </row>
    <row r="41">
      <c r="A41" t="inlineStr">
        <is>
          <t>Sangle Chien Handicapé Arrière</t>
        </is>
      </c>
      <c r="B41" s="2" t="n">
        <v>49.99</v>
      </c>
      <c r="C41" s="2" t="n"/>
      <c r="D41" s="3" t="n">
        <v>5.93</v>
      </c>
      <c r="E41" s="4" t="inlineStr">
        <is>
          <t>Recherche à vérifier</t>
        </is>
      </c>
      <c r="F41" s="2">
        <f>IF(D41&lt;10,1.99,0)</f>
        <v/>
      </c>
      <c r="G41" s="3" t="n">
        <v>3.6</v>
      </c>
      <c r="H41" s="2">
        <f>D41+F41+G41</f>
        <v/>
      </c>
      <c r="I41" s="5">
        <f>B41/H41</f>
        <v/>
      </c>
      <c r="J41" s="2" t="n">
        <v>44.99</v>
      </c>
      <c r="K41" s="5">
        <f>J41/H41</f>
        <v/>
      </c>
      <c r="L41" s="6" t="inlineStr"/>
      <c r="M41" t="inlineStr">
        <is>
          <t>BAISSER</t>
        </is>
      </c>
      <c r="N41" t="inlineStr">
        <is>
          <t>cœur</t>
        </is>
      </c>
      <c r="O41" s="2" t="n">
        <v>55.99</v>
      </c>
      <c r="P41" t="inlineStr">
        <is>
          <t>Coût par article Shopify — taille M</t>
        </is>
      </c>
      <c r="Q41" t="inlineStr">
        <is>
          <t>NON VÉRIFIÉ (accès AliExpress bloqué)</t>
        </is>
      </c>
      <c r="R41" t="inlineStr">
        <is>
          <t>dog rear lift support harness</t>
        </is>
      </c>
      <c r="S41" t="inlineStr">
        <is>
          <t>https://harnais-chien-expert.fr/products/sangle-chien-handicape-arriere</t>
        </is>
      </c>
      <c r="T41" t="inlineStr">
        <is>
          <t>https://cdn.shopify.com/s/files/1/0992/8553/3046/files/sangle-chien-handicape-arriere-orange.webp?v=1787745941</t>
        </is>
      </c>
    </row>
    <row r="42">
      <c r="A42" t="inlineStr">
        <is>
          <t>Harnais Randonnée Sacoche Vert</t>
        </is>
      </c>
      <c r="B42" s="2" t="n">
        <v>59.99</v>
      </c>
      <c r="C42" s="2" t="n"/>
      <c r="D42" s="3" t="n">
        <v>21.23</v>
      </c>
      <c r="E42" s="4" t="inlineStr">
        <is>
          <t>Recherche à vérifier</t>
        </is>
      </c>
      <c r="F42" s="2">
        <f>IF(D42&lt;10,1.99,0)</f>
        <v/>
      </c>
      <c r="G42" s="3" t="n">
        <v>3.6</v>
      </c>
      <c r="H42" s="2">
        <f>D42+F42+G42</f>
        <v/>
      </c>
      <c r="I42" s="5">
        <f>B42/H42</f>
        <v/>
      </c>
      <c r="J42" s="2" t="n">
        <v>59.99</v>
      </c>
      <c r="K42" s="5">
        <f>J42/H42</f>
        <v/>
      </c>
      <c r="L42" s="6" t="inlineStr">
        <is>
          <t>Coef. 2,5 impossible sous le plafond 59.99 € (il faudrait ≥ 62.99 €) : renégocier le fournisseur ou en trouver un moins cher. Premium : plafond 59,99 € (Ruffwear Front Range ~60 €).</t>
        </is>
      </c>
      <c r="M42" t="inlineStr">
        <is>
          <t>GARDER (marge faible)</t>
        </is>
      </c>
      <c r="N42" t="inlineStr">
        <is>
          <t>premium</t>
        </is>
      </c>
      <c r="O42" s="2" t="n">
        <v>73.98999999999999</v>
      </c>
      <c r="P42" t="inlineStr">
        <is>
          <t>Coût par article Shopify — toutes variantes</t>
        </is>
      </c>
      <c r="Q42" t="inlineStr">
        <is>
          <t>NON VÉRIFIÉ (accès AliExpress bloqué)</t>
        </is>
      </c>
      <c r="R42" t="inlineStr">
        <is>
          <t>dog backpack harness saddle bag hiking</t>
        </is>
      </c>
      <c r="S42" t="inlineStr">
        <is>
          <t>https://harnais-chien-expert.fr/products/harnais-randonnee-sacoche-vert</t>
        </is>
      </c>
      <c r="T42" t="inlineStr">
        <is>
          <t>https://cdn.shopify.com/s/files/1/0992/8553/3046/files/harnais-randonnee-sacoche-vert.webp?v=1787825927</t>
        </is>
      </c>
    </row>
    <row r="43">
      <c r="A43" t="inlineStr">
        <is>
          <t>Harnais Randonnée Sacoche Noir</t>
        </is>
      </c>
      <c r="B43" s="2" t="n">
        <v>59.99</v>
      </c>
      <c r="C43" s="2" t="n"/>
      <c r="D43" s="3" t="n">
        <v>21.23</v>
      </c>
      <c r="E43" s="4" t="inlineStr">
        <is>
          <t>Recherche à vérifier</t>
        </is>
      </c>
      <c r="F43" s="2">
        <f>IF(D43&lt;10,1.99,0)</f>
        <v/>
      </c>
      <c r="G43" s="3" t="n">
        <v>3.6</v>
      </c>
      <c r="H43" s="2">
        <f>D43+F43+G43</f>
        <v/>
      </c>
      <c r="I43" s="5">
        <f>B43/H43</f>
        <v/>
      </c>
      <c r="J43" s="2" t="n">
        <v>59.99</v>
      </c>
      <c r="K43" s="5">
        <f>J43/H43</f>
        <v/>
      </c>
      <c r="L43" s="6" t="inlineStr">
        <is>
          <t>Coef. 2,5 impossible sous le plafond 59.99 € (il faudrait ≥ 62.99 €) : renégocier le fournisseur ou en trouver un moins cher. Premium : plafond 59,99 € (Ruffwear Front Range ~60 €).</t>
        </is>
      </c>
      <c r="M43" t="inlineStr">
        <is>
          <t>GARDER (marge faible)</t>
        </is>
      </c>
      <c r="N43" t="inlineStr">
        <is>
          <t>premium</t>
        </is>
      </c>
      <c r="O43" s="2" t="n">
        <v>73.98999999999999</v>
      </c>
      <c r="P43" t="inlineStr">
        <is>
          <t>Coût par article Shopify — toutes variantes</t>
        </is>
      </c>
      <c r="Q43" t="inlineStr">
        <is>
          <t>NON VÉRIFIÉ (accès AliExpress bloqué)</t>
        </is>
      </c>
      <c r="R43" t="inlineStr">
        <is>
          <t>dog backpack harness saddle bag hiking</t>
        </is>
      </c>
      <c r="S43" t="inlineStr">
        <is>
          <t>https://harnais-chien-expert.fr/products/harnais-randonnee-sacoche-noir</t>
        </is>
      </c>
      <c r="T43" t="inlineStr">
        <is>
          <t>https://cdn.shopify.com/s/files/1/0992/8553/3046/files/harnais-randonnee-sacoche-noir.webp?v=1787825941</t>
        </is>
      </c>
    </row>
    <row r="44">
      <c r="A44" t="inlineStr">
        <is>
          <t>Harnais Randonnée Sacoche Camouflage</t>
        </is>
      </c>
      <c r="B44" s="2" t="n">
        <v>59.99</v>
      </c>
      <c r="C44" s="2" t="n"/>
      <c r="D44" s="3" t="n">
        <v>21.68</v>
      </c>
      <c r="E44" s="4" t="inlineStr">
        <is>
          <t>Recherche à vérifier</t>
        </is>
      </c>
      <c r="F44" s="2">
        <f>IF(D44&lt;10,1.99,0)</f>
        <v/>
      </c>
      <c r="G44" s="3" t="n">
        <v>3.6</v>
      </c>
      <c r="H44" s="2">
        <f>D44+F44+G44</f>
        <v/>
      </c>
      <c r="I44" s="5">
        <f>B44/H44</f>
        <v/>
      </c>
      <c r="J44" s="2" t="n">
        <v>59.99</v>
      </c>
      <c r="K44" s="5">
        <f>J44/H44</f>
        <v/>
      </c>
      <c r="L44" s="6" t="inlineStr">
        <is>
          <t>Coef. 2,5 impossible sous le plafond 59.99 € (il faudrait ≥ 63.99 €) : renégocier le fournisseur ou en trouver un moins cher. Premium : plafond 59,99 € (Ruffwear Front Range ~60 €).</t>
        </is>
      </c>
      <c r="M44" t="inlineStr">
        <is>
          <t>GARDER (marge faible)</t>
        </is>
      </c>
      <c r="N44" t="inlineStr">
        <is>
          <t>premium</t>
        </is>
      </c>
      <c r="O44" s="2" t="n">
        <v>73.98999999999999</v>
      </c>
      <c r="P44" t="inlineStr">
        <is>
          <t>Coût par article Shopify — toutes variantes</t>
        </is>
      </c>
      <c r="Q44" t="inlineStr">
        <is>
          <t>NON VÉRIFIÉ (accès AliExpress bloqué)</t>
        </is>
      </c>
      <c r="R44" t="inlineStr">
        <is>
          <t>dog backpack harness saddle bag hiking</t>
        </is>
      </c>
      <c r="S44" t="inlineStr">
        <is>
          <t>https://harnais-chien-expert.fr/products/harnais-randonnee-sacoche-camouflage</t>
        </is>
      </c>
      <c r="T44" t="inlineStr">
        <is>
          <t>https://cdn.shopify.com/s/files/1/0992/8553/3046/files/harnais-randonnee-sacoche-camouflage.webp?v=1787825956</t>
        </is>
      </c>
    </row>
    <row r="45">
      <c r="A45" t="inlineStr">
        <is>
          <t>Harnais Randonnée Sacoche Jaune</t>
        </is>
      </c>
      <c r="B45" s="2" t="n">
        <v>59.99</v>
      </c>
      <c r="C45" s="2" t="n"/>
      <c r="D45" s="3" t="n">
        <v>21.45</v>
      </c>
      <c r="E45" s="4" t="inlineStr">
        <is>
          <t>Recherche à vérifier</t>
        </is>
      </c>
      <c r="F45" s="2">
        <f>IF(D45&lt;10,1.99,0)</f>
        <v/>
      </c>
      <c r="G45" s="3" t="n">
        <v>3.6</v>
      </c>
      <c r="H45" s="2">
        <f>D45+F45+G45</f>
        <v/>
      </c>
      <c r="I45" s="5">
        <f>B45/H45</f>
        <v/>
      </c>
      <c r="J45" s="2" t="n">
        <v>59.99</v>
      </c>
      <c r="K45" s="5">
        <f>J45/H45</f>
        <v/>
      </c>
      <c r="L45" s="6" t="inlineStr">
        <is>
          <t>Coef. 2,5 impossible sous le plafond 59.99 € (il faudrait ≥ 62.99 €) : renégocier le fournisseur ou en trouver un moins cher. Premium : plafond 59,99 € (Ruffwear Front Range ~60 €).</t>
        </is>
      </c>
      <c r="M45" t="inlineStr">
        <is>
          <t>GARDER (marge faible)</t>
        </is>
      </c>
      <c r="N45" t="inlineStr">
        <is>
          <t>premium</t>
        </is>
      </c>
      <c r="O45" s="2" t="n">
        <v>73.98999999999999</v>
      </c>
      <c r="P45" t="inlineStr">
        <is>
          <t>Coût par article Shopify — toutes variantes</t>
        </is>
      </c>
      <c r="Q45" t="inlineStr">
        <is>
          <t>NON VÉRIFIÉ (accès AliExpress bloqué)</t>
        </is>
      </c>
      <c r="R45" t="inlineStr">
        <is>
          <t>dog backpack harness saddle bag hiking</t>
        </is>
      </c>
      <c r="S45" t="inlineStr">
        <is>
          <t>https://harnais-chien-expert.fr/products/harnais-randonnee-sacoche-jaune</t>
        </is>
      </c>
      <c r="T45" t="inlineStr">
        <is>
          <t>https://cdn.shopify.com/s/files/1/0992/8553/3046/files/harnais-randonnee-sacoche-jaune.webp?v=1787825969</t>
        </is>
      </c>
    </row>
    <row r="46">
      <c r="A46" t="inlineStr">
        <is>
          <t>Harnais Randonnée Sacoche Gris</t>
        </is>
      </c>
      <c r="B46" s="2" t="n">
        <v>59.99</v>
      </c>
      <c r="C46" s="2" t="n"/>
      <c r="D46" s="3" t="n">
        <v>21.23</v>
      </c>
      <c r="E46" s="4" t="inlineStr">
        <is>
          <t>Recherche à vérifier</t>
        </is>
      </c>
      <c r="F46" s="2">
        <f>IF(D46&lt;10,1.99,0)</f>
        <v/>
      </c>
      <c r="G46" s="3" t="n">
        <v>3.6</v>
      </c>
      <c r="H46" s="2">
        <f>D46+F46+G46</f>
        <v/>
      </c>
      <c r="I46" s="5">
        <f>B46/H46</f>
        <v/>
      </c>
      <c r="J46" s="2" t="n">
        <v>59.99</v>
      </c>
      <c r="K46" s="5">
        <f>J46/H46</f>
        <v/>
      </c>
      <c r="L46" s="6" t="inlineStr">
        <is>
          <t>Coef. 2,5 impossible sous le plafond 59.99 € (il faudrait ≥ 62.99 €) : renégocier le fournisseur ou en trouver un moins cher. Premium : plafond 59,99 € (Ruffwear Front Range ~60 €).</t>
        </is>
      </c>
      <c r="M46" t="inlineStr">
        <is>
          <t>GARDER (marge faible)</t>
        </is>
      </c>
      <c r="N46" t="inlineStr">
        <is>
          <t>premium</t>
        </is>
      </c>
      <c r="O46" s="2" t="n">
        <v>73.98999999999999</v>
      </c>
      <c r="P46" t="inlineStr">
        <is>
          <t>Coût par article Shopify — toutes variantes</t>
        </is>
      </c>
      <c r="Q46" t="inlineStr">
        <is>
          <t>NON VÉRIFIÉ (accès AliExpress bloqué)</t>
        </is>
      </c>
      <c r="R46" t="inlineStr">
        <is>
          <t>dog backpack harness saddle bag hiking</t>
        </is>
      </c>
      <c r="S46" t="inlineStr">
        <is>
          <t>https://harnais-chien-expert.fr/products/harnais-randonnee-sacoche-gris</t>
        </is>
      </c>
      <c r="T46" t="inlineStr">
        <is>
          <t>https://cdn.shopify.com/s/files/1/0992/8553/3046/files/harnais-randonnee-sacoche-gris.webp?v=1787825985</t>
        </is>
      </c>
    </row>
    <row r="47">
      <c r="A47" t="inlineStr">
        <is>
          <t>Harnais Randonnée Sacoche Bleu</t>
        </is>
      </c>
      <c r="B47" s="2" t="n">
        <v>59.99</v>
      </c>
      <c r="C47" s="2" t="n"/>
      <c r="D47" s="3" t="n">
        <v>21.23</v>
      </c>
      <c r="E47" s="4" t="inlineStr">
        <is>
          <t>Recherche à vérifier</t>
        </is>
      </c>
      <c r="F47" s="2">
        <f>IF(D47&lt;10,1.99,0)</f>
        <v/>
      </c>
      <c r="G47" s="3" t="n">
        <v>3.6</v>
      </c>
      <c r="H47" s="2">
        <f>D47+F47+G47</f>
        <v/>
      </c>
      <c r="I47" s="5">
        <f>B47/H47</f>
        <v/>
      </c>
      <c r="J47" s="2" t="n">
        <v>59.99</v>
      </c>
      <c r="K47" s="5">
        <f>J47/H47</f>
        <v/>
      </c>
      <c r="L47" s="6" t="inlineStr">
        <is>
          <t>Coef. 2,5 impossible sous le plafond 59.99 € (il faudrait ≥ 62.99 €) : renégocier le fournisseur ou en trouver un moins cher. Premium : plafond 59,99 € (Ruffwear Front Range ~60 €).</t>
        </is>
      </c>
      <c r="M47" t="inlineStr">
        <is>
          <t>GARDER (marge faible)</t>
        </is>
      </c>
      <c r="N47" t="inlineStr">
        <is>
          <t>premium</t>
        </is>
      </c>
      <c r="O47" s="2" t="n">
        <v>73.98999999999999</v>
      </c>
      <c r="P47" t="inlineStr">
        <is>
          <t>Coût par article Shopify — toutes variantes</t>
        </is>
      </c>
      <c r="Q47" t="inlineStr">
        <is>
          <t>NON VÉRIFIÉ (accès AliExpress bloqué)</t>
        </is>
      </c>
      <c r="R47" t="inlineStr">
        <is>
          <t>dog backpack harness saddle bag hiking</t>
        </is>
      </c>
      <c r="S47" t="inlineStr">
        <is>
          <t>https://harnais-chien-expert.fr/products/harnais-randonnee-sacoche-bleu</t>
        </is>
      </c>
      <c r="T47" t="inlineStr">
        <is>
          <t>https://cdn.shopify.com/s/files/1/0992/8553/3046/files/harnais-randonnee-sacoche-bleu-vue-detaillee.webp?v=1787825999</t>
        </is>
      </c>
    </row>
    <row r="48">
      <c r="A48" t="inlineStr">
        <is>
          <t>Harnais Petit Chien Maille Respirante</t>
        </is>
      </c>
      <c r="B48" s="2" t="n">
        <v>59.99</v>
      </c>
      <c r="C48" s="2" t="n"/>
      <c r="D48" s="3" t="n">
        <v>10.58</v>
      </c>
      <c r="E48" s="4" t="inlineStr">
        <is>
          <t>Recherche à vérifier</t>
        </is>
      </c>
      <c r="F48" s="2">
        <f>IF(D48&lt;10,1.99,0)</f>
        <v/>
      </c>
      <c r="G48" s="3" t="n">
        <v>3.6</v>
      </c>
      <c r="H48" s="2">
        <f>D48+F48+G48</f>
        <v/>
      </c>
      <c r="I48" s="5">
        <f>B48/H48</f>
        <v/>
      </c>
      <c r="J48" s="2" t="n">
        <v>39.99</v>
      </c>
      <c r="K48" s="5">
        <f>J48/H48</f>
        <v/>
      </c>
      <c r="L48" s="6" t="inlineStr">
        <is>
          <t>Prix barré possible à 48.99 € seulement si ce prix a réellement été pratiqué les 30 derniers jours (Omnibus).</t>
        </is>
      </c>
      <c r="M48" t="inlineStr">
        <is>
          <t>BAISSER</t>
        </is>
      </c>
      <c r="N48" t="inlineStr">
        <is>
          <t>entrée</t>
        </is>
      </c>
      <c r="O48" s="2" t="n">
        <v>48.99</v>
      </c>
      <c r="P48" t="inlineStr">
        <is>
          <t>Coût par article Shopify — taille M</t>
        </is>
      </c>
      <c r="Q48" t="inlineStr">
        <is>
          <t>NON VÉRIFIÉ (accès AliExpress bloqué)</t>
        </is>
      </c>
      <c r="R48" t="inlineStr">
        <is>
          <t>small dog harness vest</t>
        </is>
      </c>
      <c r="S48" t="inlineStr">
        <is>
          <t>https://harnais-chien-expert.fr/products/harnais-petit-chien-maille-respirante</t>
        </is>
      </c>
      <c r="T48" t="inlineStr">
        <is>
          <t>https://cdn.shopify.com/s/files/1/0992/8553/3046/files/harnais-petit-chien-maille-respirante-orange.webp?v=1787826013</t>
        </is>
      </c>
    </row>
    <row r="49">
      <c r="A49" t="inlineStr">
        <is>
          <t>Harnais Chiot Doux Coloré</t>
        </is>
      </c>
      <c r="B49" s="2" t="n">
        <v>39.99</v>
      </c>
      <c r="C49" s="2" t="n">
        <v>59.99</v>
      </c>
      <c r="D49" s="3" t="n">
        <v>5.41</v>
      </c>
      <c r="E49" s="4" t="inlineStr">
        <is>
          <t>Recherche à vérifier</t>
        </is>
      </c>
      <c r="F49" s="2">
        <f>IF(D49&lt;10,1.99,0)</f>
        <v/>
      </c>
      <c r="G49" s="3" t="n">
        <v>3.6</v>
      </c>
      <c r="H49" s="2">
        <f>D49+F49+G49</f>
        <v/>
      </c>
      <c r="I49" s="5">
        <f>B49/H49</f>
        <v/>
      </c>
      <c r="J49" s="2" t="n">
        <v>34.99</v>
      </c>
      <c r="K49" s="5">
        <f>J49/H49</f>
        <v/>
      </c>
      <c r="L49" s="6" t="inlineStr">
        <is>
          <t>Prix barré actuel = -33% : hors fourchette réaliste (-15/-25 %), risque Omnibus.</t>
        </is>
      </c>
      <c r="M49" t="inlineStr">
        <is>
          <t>BAISSER</t>
        </is>
      </c>
      <c r="N49" t="inlineStr">
        <is>
          <t>entrée</t>
        </is>
      </c>
      <c r="O49" s="2" t="n">
        <v>42.99</v>
      </c>
      <c r="P49" t="inlineStr">
        <is>
          <t>Coût par article Shopify — taille M</t>
        </is>
      </c>
      <c r="Q49" t="inlineStr">
        <is>
          <t>NON VÉRIFIÉ (accès AliExpress bloqué)</t>
        </is>
      </c>
      <c r="R49" t="inlineStr">
        <is>
          <t>puppy harness mesh breathable</t>
        </is>
      </c>
      <c r="S49" t="inlineStr">
        <is>
          <t>https://harnais-chien-expert.fr/products/harnais-chiot-doux-colore</t>
        </is>
      </c>
      <c r="T49" t="inlineStr">
        <is>
          <t>https://cdn.shopify.com/s/files/1/0992/8553/3046/files/harnais-chiot-doux-colore-marron.webp?v=1788032766</t>
        </is>
      </c>
    </row>
    <row r="50">
      <c r="A50" t="inlineStr">
        <is>
          <t>Harnais Chien Réfléchissant Ajustable</t>
        </is>
      </c>
      <c r="B50" s="2" t="n">
        <v>49.99</v>
      </c>
      <c r="C50" s="2" t="n">
        <v>69.98999999999999</v>
      </c>
      <c r="D50" s="3" t="n">
        <v>10.01</v>
      </c>
      <c r="E50" s="4" t="inlineStr">
        <is>
          <t>Recherche à vérifier</t>
        </is>
      </c>
      <c r="F50" s="2">
        <f>IF(D50&lt;10,1.99,0)</f>
        <v/>
      </c>
      <c r="G50" s="3" t="n">
        <v>3.6</v>
      </c>
      <c r="H50" s="2">
        <f>D50+F50+G50</f>
        <v/>
      </c>
      <c r="I50" s="5">
        <f>B50/H50</f>
        <v/>
      </c>
      <c r="J50" s="2" t="n">
        <v>44.99</v>
      </c>
      <c r="K50" s="5">
        <f>J50/H50</f>
        <v/>
      </c>
      <c r="L50" s="6" t="inlineStr">
        <is>
          <t>Prix barré actuel = -29% : hors fourchette réaliste (-15/-25 %), risque Omnibus. Coût très variable selon la variante (8.00–14.84 €) : vérifier la marge sur les grandes tailles.</t>
        </is>
      </c>
      <c r="M50" t="inlineStr">
        <is>
          <t>BAISSER</t>
        </is>
      </c>
      <c r="N50" t="inlineStr">
        <is>
          <t>cœur</t>
        </is>
      </c>
      <c r="O50" s="2" t="n">
        <v>55.99</v>
      </c>
      <c r="P50" t="inlineStr">
        <is>
          <t>Coût par article Shopify — taille M</t>
        </is>
      </c>
      <c r="Q50" t="inlineStr">
        <is>
          <t>NON VÉRIFIÉ (accès AliExpress bloqué)</t>
        </is>
      </c>
      <c r="R50" t="inlineStr">
        <is>
          <t>reflective no pull dog harness padded</t>
        </is>
      </c>
      <c r="S50" t="inlineStr">
        <is>
          <t>https://harnais-chien-expert.fr/products/harnais-chien-reflechissant-ajustable</t>
        </is>
      </c>
      <c r="T50" t="inlineStr">
        <is>
          <t>https://cdn.shopify.com/s/files/1/0992/8553/3046/files/harnais-chien-reflechissant-ajustable-noir.webp?v=1787826040</t>
        </is>
      </c>
    </row>
    <row r="51">
      <c r="A51" t="inlineStr">
        <is>
          <t>Harnais Chiot Respirant Réglable</t>
        </is>
      </c>
      <c r="B51" s="2" t="n">
        <v>39.99</v>
      </c>
      <c r="C51" s="2" t="n">
        <v>59.99</v>
      </c>
      <c r="D51" s="3" t="n">
        <v>5.71</v>
      </c>
      <c r="E51" s="4" t="inlineStr">
        <is>
          <t>Recherche à vérifier</t>
        </is>
      </c>
      <c r="F51" s="2">
        <f>IF(D51&lt;10,1.99,0)</f>
        <v/>
      </c>
      <c r="G51" s="3" t="n">
        <v>3.6</v>
      </c>
      <c r="H51" s="2">
        <f>D51+F51+G51</f>
        <v/>
      </c>
      <c r="I51" s="5">
        <f>B51/H51</f>
        <v/>
      </c>
      <c r="J51" s="2" t="n">
        <v>34.99</v>
      </c>
      <c r="K51" s="5">
        <f>J51/H51</f>
        <v/>
      </c>
      <c r="L51" s="6" t="inlineStr">
        <is>
          <t>Prix barré actuel = -33% : hors fourchette réaliste (-15/-25 %), risque Omnibus.</t>
        </is>
      </c>
      <c r="M51" t="inlineStr">
        <is>
          <t>BAISSER</t>
        </is>
      </c>
      <c r="N51" t="inlineStr">
        <is>
          <t>entrée</t>
        </is>
      </c>
      <c r="O51" s="2" t="n">
        <v>42.99</v>
      </c>
      <c r="P51" t="inlineStr">
        <is>
          <t>Coût par article Shopify — taille M</t>
        </is>
      </c>
      <c r="Q51" t="inlineStr">
        <is>
          <t>NON VÉRIFIÉ (accès AliExpress bloqué)</t>
        </is>
      </c>
      <c r="R51" t="inlineStr">
        <is>
          <t>puppy harness mesh breathable</t>
        </is>
      </c>
      <c r="S51" t="inlineStr">
        <is>
          <t>https://harnais-chien-expert.fr/products/harnais-chiot-respirant-reglable</t>
        </is>
      </c>
      <c r="T51" t="inlineStr">
        <is>
          <t>https://cdn.shopify.com/s/files/1/0992/8553/3046/files/harnais-chiot-respirant-reglable-beige.webp?v=1787826067</t>
        </is>
      </c>
    </row>
    <row r="52">
      <c r="A52" t="inlineStr">
        <is>
          <t>Harnais Canicross Réfléchissant Jaune</t>
        </is>
      </c>
      <c r="B52" s="2" t="n">
        <v>59.99</v>
      </c>
      <c r="C52" s="2" t="n"/>
      <c r="D52" s="3" t="n">
        <v>16.44</v>
      </c>
      <c r="E52" s="4" t="inlineStr">
        <is>
          <t>Recherche à vérifier</t>
        </is>
      </c>
      <c r="F52" s="2">
        <f>IF(D52&lt;10,1.99,0)</f>
        <v/>
      </c>
      <c r="G52" s="3" t="n">
        <v>3.6</v>
      </c>
      <c r="H52" s="2">
        <f>D52+F52+G52</f>
        <v/>
      </c>
      <c r="I52" s="5">
        <f>B52/H52</f>
        <v/>
      </c>
      <c r="J52" s="2" t="n">
        <v>59.99</v>
      </c>
      <c r="K52" s="5">
        <f>J52/H52</f>
        <v/>
      </c>
      <c r="L52" s="6" t="inlineStr">
        <is>
          <t>Premium : plafond 59,99 € (Ruffwear Front Range ~60 €).</t>
        </is>
      </c>
      <c r="M52" t="inlineStr">
        <is>
          <t>GARDER</t>
        </is>
      </c>
      <c r="N52" t="inlineStr">
        <is>
          <t>premium</t>
        </is>
      </c>
      <c r="O52" s="2" t="n">
        <v>73.98999999999999</v>
      </c>
      <c r="P52" t="inlineStr">
        <is>
          <t>Coût par article Shopify — taille médiane (75-95 cm)</t>
        </is>
      </c>
      <c r="Q52" t="inlineStr">
        <is>
          <t>NON VÉRIFIÉ (accès AliExpress bloqué)</t>
        </is>
      </c>
      <c r="R52" t="inlineStr">
        <is>
          <t>canicross dog harness running</t>
        </is>
      </c>
      <c r="S52" t="inlineStr">
        <is>
          <t>https://harnais-chien-expert.fr/products/harnais-canicross-reflechissant-jaune</t>
        </is>
      </c>
      <c r="T52" t="inlineStr">
        <is>
          <t>https://cdn.shopify.com/s/files/1/0992/8553/3046/files/01-S90b96e2455e647ed9bafc18d81542e32N_5f4a875c-8091-4ed5-80b8-25dca0d1bbfc.png?v=1787826299</t>
        </is>
      </c>
    </row>
    <row r="53">
      <c r="A53" t="inlineStr">
        <is>
          <t>Harnais Canicross Vert</t>
        </is>
      </c>
      <c r="B53" s="2" t="n">
        <v>59.99</v>
      </c>
      <c r="C53" s="2" t="n"/>
      <c r="D53" s="3" t="n">
        <v>17.27</v>
      </c>
      <c r="E53" s="4" t="inlineStr">
        <is>
          <t>Recherche à vérifier</t>
        </is>
      </c>
      <c r="F53" s="2">
        <f>IF(D53&lt;10,1.99,0)</f>
        <v/>
      </c>
      <c r="G53" s="3" t="n">
        <v>3.6</v>
      </c>
      <c r="H53" s="2">
        <f>D53+F53+G53</f>
        <v/>
      </c>
      <c r="I53" s="5">
        <f>B53/H53</f>
        <v/>
      </c>
      <c r="J53" s="2" t="n">
        <v>59.99</v>
      </c>
      <c r="K53" s="5">
        <f>J53/H53</f>
        <v/>
      </c>
      <c r="L53" s="6" t="inlineStr">
        <is>
          <t>Premium : plafond 59,99 € (Ruffwear Front Range ~60 €).</t>
        </is>
      </c>
      <c r="M53" t="inlineStr">
        <is>
          <t>GARDER</t>
        </is>
      </c>
      <c r="N53" t="inlineStr">
        <is>
          <t>premium</t>
        </is>
      </c>
      <c r="O53" s="2" t="n">
        <v>73.98999999999999</v>
      </c>
      <c r="P53" t="inlineStr">
        <is>
          <t>Coût par article Shopify — taille M</t>
        </is>
      </c>
      <c r="Q53" t="inlineStr">
        <is>
          <t>NON VÉRIFIÉ (accès AliExpress bloqué)</t>
        </is>
      </c>
      <c r="R53" t="inlineStr">
        <is>
          <t>canicross dog harness running</t>
        </is>
      </c>
      <c r="S53" t="inlineStr">
        <is>
          <t>https://harnais-chien-expert.fr/products/harnais-canicross-vert</t>
        </is>
      </c>
      <c r="T53" t="inlineStr">
        <is>
          <t>https://cdn.shopify.com/s/files/1/0992/8553/3046/files/harnais-canicross-vert-citron.webp?v=1787826122</t>
        </is>
      </c>
    </row>
    <row r="54">
      <c r="A54" t="inlineStr">
        <is>
          <t>Harnais Canicross avec Laisse</t>
        </is>
      </c>
      <c r="B54" s="2" t="n">
        <v>59.99</v>
      </c>
      <c r="C54" s="2" t="n"/>
      <c r="D54" s="3" t="n">
        <v>21.75</v>
      </c>
      <c r="E54" s="4" t="inlineStr">
        <is>
          <t>Recherche à vérifier</t>
        </is>
      </c>
      <c r="F54" s="2">
        <f>IF(D54&lt;10,1.99,0)</f>
        <v/>
      </c>
      <c r="G54" s="3" t="n">
        <v>3.6</v>
      </c>
      <c r="H54" s="2">
        <f>D54+F54+G54</f>
        <v/>
      </c>
      <c r="I54" s="5">
        <f>B54/H54</f>
        <v/>
      </c>
      <c r="J54" s="2" t="n">
        <v>59.99</v>
      </c>
      <c r="K54" s="5">
        <f>J54/H54</f>
        <v/>
      </c>
      <c r="L54" s="6" t="inlineStr">
        <is>
          <t>Coef. 2,5 impossible sous le plafond 59.99 € (il faudrait ≥ 63.99 €) : renégocier le fournisseur ou en trouver un moins cher. Premium : plafond 59,99 € (Ruffwear Front Range ~60 €).</t>
        </is>
      </c>
      <c r="M54" t="inlineStr">
        <is>
          <t>GARDER (marge faible)</t>
        </is>
      </c>
      <c r="N54" t="inlineStr">
        <is>
          <t>premium</t>
        </is>
      </c>
      <c r="O54" s="2" t="n">
        <v>73.98999999999999</v>
      </c>
      <c r="P54" t="inlineStr">
        <is>
          <t>Coût par article Shopify — taille M</t>
        </is>
      </c>
      <c r="Q54" t="inlineStr">
        <is>
          <t>NON VÉRIFIÉ (accès AliExpress bloqué)</t>
        </is>
      </c>
      <c r="R54" t="inlineStr">
        <is>
          <t>canicross dog harness running</t>
        </is>
      </c>
      <c r="S54" t="inlineStr">
        <is>
          <t>https://harnais-chien-expert.fr/products/harnais-canicross-avec-laisse</t>
        </is>
      </c>
      <c r="T54" t="inlineStr">
        <is>
          <t>https://cdn.shopify.com/s/files/1/0992/8553/3046/files/harnais-canicross-avec-laisse-kaki.webp?v=1787826143</t>
        </is>
      </c>
    </row>
    <row r="55">
      <c r="A55" t="inlineStr">
        <is>
          <t>Harnais Canicross Réfléchissant Noir</t>
        </is>
      </c>
      <c r="B55" s="2" t="n">
        <v>59.99</v>
      </c>
      <c r="C55" s="2" t="n"/>
      <c r="D55" s="3" t="n">
        <v>16.24</v>
      </c>
      <c r="E55" s="4" t="inlineStr">
        <is>
          <t>Recherche à vérifier</t>
        </is>
      </c>
      <c r="F55" s="2">
        <f>IF(D55&lt;10,1.99,0)</f>
        <v/>
      </c>
      <c r="G55" s="3" t="n">
        <v>3.6</v>
      </c>
      <c r="H55" s="2">
        <f>D55+F55+G55</f>
        <v/>
      </c>
      <c r="I55" s="5">
        <f>B55/H55</f>
        <v/>
      </c>
      <c r="J55" s="2" t="n">
        <v>59.99</v>
      </c>
      <c r="K55" s="5">
        <f>J55/H55</f>
        <v/>
      </c>
      <c r="L55" s="6" t="inlineStr">
        <is>
          <t>Prix aligné sur les autres coloris de la famille « Canicross réfléchissant ».</t>
        </is>
      </c>
      <c r="M55" t="inlineStr">
        <is>
          <t>GARDER</t>
        </is>
      </c>
      <c r="N55" t="inlineStr">
        <is>
          <t>premium</t>
        </is>
      </c>
      <c r="O55" s="2" t="n">
        <v>73.98999999999999</v>
      </c>
      <c r="P55" t="inlineStr">
        <is>
          <t>Coût par article Shopify — taille médiane (75-95 cm)</t>
        </is>
      </c>
      <c r="Q55" t="inlineStr">
        <is>
          <t>NON VÉRIFIÉ (accès AliExpress bloqué)</t>
        </is>
      </c>
      <c r="R55" t="inlineStr">
        <is>
          <t>canicross dog harness running</t>
        </is>
      </c>
      <c r="S55" t="inlineStr">
        <is>
          <t>https://harnais-chien-expert.fr/products/harnais-canicross-reflechissant-noir</t>
        </is>
      </c>
      <c r="T55" t="inlineStr">
        <is>
          <t>https://cdn.shopify.com/s/files/1/0992/8553/3046/files/01-S1a1aead597cd43cf837ed3ee855b7ae8q_acd1d75a-c77b-4dbc-b93d-30fc6511f58d.png?v=1787826338</t>
        </is>
      </c>
    </row>
    <row r="56">
      <c r="A56" t="inlineStr">
        <is>
          <t>Harnais Canicross Réfléchissant Rouge</t>
        </is>
      </c>
      <c r="B56" s="2" t="n">
        <v>59.99</v>
      </c>
      <c r="C56" s="2" t="n"/>
      <c r="D56" s="3" t="n">
        <v>16.55</v>
      </c>
      <c r="E56" s="4" t="inlineStr">
        <is>
          <t>Recherche à vérifier</t>
        </is>
      </c>
      <c r="F56" s="2">
        <f>IF(D56&lt;10,1.99,0)</f>
        <v/>
      </c>
      <c r="G56" s="3" t="n">
        <v>3.6</v>
      </c>
      <c r="H56" s="2">
        <f>D56+F56+G56</f>
        <v/>
      </c>
      <c r="I56" s="5">
        <f>B56/H56</f>
        <v/>
      </c>
      <c r="J56" s="2" t="n">
        <v>59.99</v>
      </c>
      <c r="K56" s="5">
        <f>J56/H56</f>
        <v/>
      </c>
      <c r="L56" s="6" t="inlineStr">
        <is>
          <t>Premium : plafond 59,99 € (Ruffwear Front Range ~60 €).</t>
        </is>
      </c>
      <c r="M56" t="inlineStr">
        <is>
          <t>GARDER</t>
        </is>
      </c>
      <c r="N56" t="inlineStr">
        <is>
          <t>premium</t>
        </is>
      </c>
      <c r="O56" s="2" t="n">
        <v>73.98999999999999</v>
      </c>
      <c r="P56" t="inlineStr">
        <is>
          <t>Coût par article Shopify — taille médiane (75-95 cm)</t>
        </is>
      </c>
      <c r="Q56" t="inlineStr">
        <is>
          <t>NON VÉRIFIÉ (accès AliExpress bloqué)</t>
        </is>
      </c>
      <c r="R56" t="inlineStr">
        <is>
          <t>canicross dog harness running</t>
        </is>
      </c>
      <c r="S56" t="inlineStr">
        <is>
          <t>https://harnais-chien-expert.fr/products/harnais-canicross-reflechissant-rouge</t>
        </is>
      </c>
      <c r="T56" t="inlineStr">
        <is>
          <t>https://cdn.shopify.com/s/files/1/0992/8553/3046/files/01-S3c335faf54a34b81a5d0a4c7acf5ee38A_96079655-cb0d-4872-bb17-3fc07d111b2c.png?v=1787826345</t>
        </is>
      </c>
    </row>
    <row r="57">
      <c r="A57" t="inlineStr">
        <is>
          <t>Harnais Chien Noir</t>
        </is>
      </c>
      <c r="B57" s="2" t="n">
        <v>49.99</v>
      </c>
      <c r="C57" s="2" t="n"/>
      <c r="D57" s="3" t="n">
        <v>3.82</v>
      </c>
      <c r="E57" s="4" t="inlineStr">
        <is>
          <t>Recherche à vérifier</t>
        </is>
      </c>
      <c r="F57" s="2">
        <f>IF(D57&lt;10,1.99,0)</f>
        <v/>
      </c>
      <c r="G57" s="3" t="n">
        <v>3.6</v>
      </c>
      <c r="H57" s="2">
        <f>D57+F57+G57</f>
        <v/>
      </c>
      <c r="I57" s="5">
        <f>B57/H57</f>
        <v/>
      </c>
      <c r="J57" s="2" t="n">
        <v>34.99</v>
      </c>
      <c r="K57" s="5">
        <f>J57/H57</f>
        <v/>
      </c>
      <c r="L57" s="6" t="inlineStr">
        <is>
          <t>Prix barré possible à 42.99 € seulement si ce prix a réellement été pratiqué les 30 derniers jours (Omnibus).</t>
        </is>
      </c>
      <c r="M57" t="inlineStr">
        <is>
          <t>BAISSER</t>
        </is>
      </c>
      <c r="N57" t="inlineStr">
        <is>
          <t>entrée</t>
        </is>
      </c>
      <c r="O57" s="2" t="n">
        <v>42.99</v>
      </c>
      <c r="P57" t="inlineStr">
        <is>
          <t>Coût par article Shopify — taille M</t>
        </is>
      </c>
      <c r="Q57" t="inlineStr">
        <is>
          <t>NON VÉRIFIÉ (accès AliExpress bloqué)</t>
        </is>
      </c>
      <c r="R57" t="inlineStr">
        <is>
          <t>dog harness</t>
        </is>
      </c>
      <c r="S57" t="inlineStr">
        <is>
          <t>https://harnais-chien-expert.fr/products/harnais-chien-noir</t>
        </is>
      </c>
      <c r="T57" t="inlineStr">
        <is>
          <t>https://cdn.shopify.com/s/files/1/0992/8553/3046/files/harnais-chien-noir-vue-face.webp?v=1787826165</t>
        </is>
      </c>
    </row>
    <row r="58">
      <c r="A58" t="inlineStr">
        <is>
          <t>Harnais Chien Rouge</t>
        </is>
      </c>
      <c r="B58" s="2" t="n">
        <v>49.99</v>
      </c>
      <c r="C58" s="2" t="n"/>
      <c r="D58" s="3" t="n">
        <v>3.9</v>
      </c>
      <c r="E58" s="4" t="inlineStr">
        <is>
          <t>Recherche à vérifier</t>
        </is>
      </c>
      <c r="F58" s="2">
        <f>IF(D58&lt;10,1.99,0)</f>
        <v/>
      </c>
      <c r="G58" s="3" t="n">
        <v>3.6</v>
      </c>
      <c r="H58" s="2">
        <f>D58+F58+G58</f>
        <v/>
      </c>
      <c r="I58" s="5">
        <f>B58/H58</f>
        <v/>
      </c>
      <c r="J58" s="2" t="n">
        <v>34.99</v>
      </c>
      <c r="K58" s="5">
        <f>J58/H58</f>
        <v/>
      </c>
      <c r="L58" s="6" t="inlineStr">
        <is>
          <t>Prix barré possible à 42.99 € seulement si ce prix a réellement été pratiqué les 30 derniers jours (Omnibus).</t>
        </is>
      </c>
      <c r="M58" t="inlineStr">
        <is>
          <t>BAISSER</t>
        </is>
      </c>
      <c r="N58" t="inlineStr">
        <is>
          <t>entrée</t>
        </is>
      </c>
      <c r="O58" s="2" t="n">
        <v>42.99</v>
      </c>
      <c r="P58" t="inlineStr">
        <is>
          <t>Coût par article Shopify — taille M</t>
        </is>
      </c>
      <c r="Q58" t="inlineStr">
        <is>
          <t>NON VÉRIFIÉ (accès AliExpress bloqué)</t>
        </is>
      </c>
      <c r="R58" t="inlineStr">
        <is>
          <t>dog harness</t>
        </is>
      </c>
      <c r="S58" t="inlineStr">
        <is>
          <t>https://harnais-chien-expert.fr/products/harnais-chien-rouge</t>
        </is>
      </c>
      <c r="T58" t="inlineStr">
        <is>
          <t>https://cdn.shopify.com/s/files/1/0992/8553/3046/files/harnais-chien-rouge-vue-face.webp?v=1787826180</t>
        </is>
      </c>
    </row>
    <row r="59">
      <c r="A59" t="inlineStr">
        <is>
          <t>Harnais Chien Gris</t>
        </is>
      </c>
      <c r="B59" s="2" t="n">
        <v>49.99</v>
      </c>
      <c r="C59" s="2" t="n"/>
      <c r="D59" s="3" t="n">
        <v>3.82</v>
      </c>
      <c r="E59" s="4" t="inlineStr">
        <is>
          <t>Recherche à vérifier</t>
        </is>
      </c>
      <c r="F59" s="2">
        <f>IF(D59&lt;10,1.99,0)</f>
        <v/>
      </c>
      <c r="G59" s="3" t="n">
        <v>3.6</v>
      </c>
      <c r="H59" s="2">
        <f>D59+F59+G59</f>
        <v/>
      </c>
      <c r="I59" s="5">
        <f>B59/H59</f>
        <v/>
      </c>
      <c r="J59" s="2" t="n">
        <v>34.99</v>
      </c>
      <c r="K59" s="5">
        <f>J59/H59</f>
        <v/>
      </c>
      <c r="L59" s="6" t="inlineStr">
        <is>
          <t>Prix barré possible à 42.99 € seulement si ce prix a réellement été pratiqué les 30 derniers jours (Omnibus).</t>
        </is>
      </c>
      <c r="M59" t="inlineStr">
        <is>
          <t>BAISSER</t>
        </is>
      </c>
      <c r="N59" t="inlineStr">
        <is>
          <t>entrée</t>
        </is>
      </c>
      <c r="O59" s="2" t="n">
        <v>42.99</v>
      </c>
      <c r="P59" t="inlineStr">
        <is>
          <t>Coût par article Shopify — taille M</t>
        </is>
      </c>
      <c r="Q59" t="inlineStr">
        <is>
          <t>NON VÉRIFIÉ (accès AliExpress bloqué)</t>
        </is>
      </c>
      <c r="R59" t="inlineStr">
        <is>
          <t>dog harness</t>
        </is>
      </c>
      <c r="S59" t="inlineStr">
        <is>
          <t>https://harnais-chien-expert.fr/products/harnais-chien-gris</t>
        </is>
      </c>
      <c r="T59" t="inlineStr">
        <is>
          <t>https://cdn.shopify.com/s/files/1/0992/8553/3046/files/harnais_chien_gris.webp?v=1787826194</t>
        </is>
      </c>
    </row>
    <row r="60">
      <c r="A60" t="inlineStr">
        <is>
          <t>Harnais Chien Rose</t>
        </is>
      </c>
      <c r="B60" s="2" t="n">
        <v>49.99</v>
      </c>
      <c r="C60" s="2" t="n"/>
      <c r="D60" s="3" t="n">
        <v>3.81</v>
      </c>
      <c r="E60" s="4" t="inlineStr">
        <is>
          <t>Recherche à vérifier</t>
        </is>
      </c>
      <c r="F60" s="2">
        <f>IF(D60&lt;10,1.99,0)</f>
        <v/>
      </c>
      <c r="G60" s="3" t="n">
        <v>3.6</v>
      </c>
      <c r="H60" s="2">
        <f>D60+F60+G60</f>
        <v/>
      </c>
      <c r="I60" s="5">
        <f>B60/H60</f>
        <v/>
      </c>
      <c r="J60" s="2" t="n">
        <v>34.99</v>
      </c>
      <c r="K60" s="5">
        <f>J60/H60</f>
        <v/>
      </c>
      <c r="L60" s="6" t="inlineStr">
        <is>
          <t>Prix barré possible à 42.99 € seulement si ce prix a réellement été pratiqué les 30 derniers jours (Omnibus).</t>
        </is>
      </c>
      <c r="M60" t="inlineStr">
        <is>
          <t>BAISSER</t>
        </is>
      </c>
      <c r="N60" t="inlineStr">
        <is>
          <t>entrée</t>
        </is>
      </c>
      <c r="O60" s="2" t="n">
        <v>42.99</v>
      </c>
      <c r="P60" t="inlineStr">
        <is>
          <t>Coût par article Shopify — taille M</t>
        </is>
      </c>
      <c r="Q60" t="inlineStr">
        <is>
          <t>NON VÉRIFIÉ (accès AliExpress bloqué)</t>
        </is>
      </c>
      <c r="R60" t="inlineStr">
        <is>
          <t>dog harness</t>
        </is>
      </c>
      <c r="S60" t="inlineStr">
        <is>
          <t>https://harnais-chien-expert.fr/products/harnais-chien-rose</t>
        </is>
      </c>
      <c r="T60" t="inlineStr">
        <is>
          <t>https://cdn.shopify.com/s/files/1/0992/8553/3046/files/harnais-chien-rose-vue-face.webp?v=1787826204</t>
        </is>
      </c>
    </row>
    <row r="61">
      <c r="A61" t="inlineStr">
        <is>
          <t>Harnais Chien Noir Réfléchissant</t>
        </is>
      </c>
      <c r="B61" s="2" t="n">
        <v>49.99</v>
      </c>
      <c r="C61" s="2" t="n"/>
      <c r="D61" s="3" t="n">
        <v>4.62</v>
      </c>
      <c r="E61" s="4" t="inlineStr">
        <is>
          <t>Recherche à vérifier</t>
        </is>
      </c>
      <c r="F61" s="2">
        <f>IF(D61&lt;10,1.99,0)</f>
        <v/>
      </c>
      <c r="G61" s="3" t="n">
        <v>3.6</v>
      </c>
      <c r="H61" s="2">
        <f>D61+F61+G61</f>
        <v/>
      </c>
      <c r="I61" s="5">
        <f>B61/H61</f>
        <v/>
      </c>
      <c r="J61" s="2" t="n">
        <v>44.99</v>
      </c>
      <c r="K61" s="5">
        <f>J61/H61</f>
        <v/>
      </c>
      <c r="L61" s="6" t="inlineStr"/>
      <c r="M61" t="inlineStr">
        <is>
          <t>BAISSER</t>
        </is>
      </c>
      <c r="N61" t="inlineStr">
        <is>
          <t>cœur</t>
        </is>
      </c>
      <c r="O61" s="2" t="n">
        <v>55.99</v>
      </c>
      <c r="P61" t="inlineStr">
        <is>
          <t>Coût par article Shopify — taille M</t>
        </is>
      </c>
      <c r="Q61" t="inlineStr">
        <is>
          <t>NON VÉRIFIÉ (accès AliExpress bloqué)</t>
        </is>
      </c>
      <c r="R61" t="inlineStr">
        <is>
          <t>reflective no pull dog harness padded</t>
        </is>
      </c>
      <c r="S61" t="inlineStr">
        <is>
          <t>https://harnais-chien-expert.fr/products/harnais-chien-noir-reflechissant</t>
        </is>
      </c>
      <c r="T61" t="inlineStr">
        <is>
          <t>https://cdn.shopify.com/s/files/1/0992/8553/3046/files/harnais-chien-noir-reflechissant-vue-face.webp?v=1787826216</t>
        </is>
      </c>
    </row>
    <row r="62">
      <c r="A62" t="inlineStr">
        <is>
          <t>Harnais Chien Rouge Réfléchissant</t>
        </is>
      </c>
      <c r="B62" s="2" t="n">
        <v>49.99</v>
      </c>
      <c r="C62" s="2" t="n"/>
      <c r="D62" s="3" t="n">
        <v>4.6</v>
      </c>
      <c r="E62" s="4" t="inlineStr">
        <is>
          <t>Recherche à vérifier</t>
        </is>
      </c>
      <c r="F62" s="2">
        <f>IF(D62&lt;10,1.99,0)</f>
        <v/>
      </c>
      <c r="G62" s="3" t="n">
        <v>3.6</v>
      </c>
      <c r="H62" s="2">
        <f>D62+F62+G62</f>
        <v/>
      </c>
      <c r="I62" s="5">
        <f>B62/H62</f>
        <v/>
      </c>
      <c r="J62" s="2" t="n">
        <v>44.99</v>
      </c>
      <c r="K62" s="5">
        <f>J62/H62</f>
        <v/>
      </c>
      <c r="L62" s="6" t="inlineStr"/>
      <c r="M62" t="inlineStr">
        <is>
          <t>BAISSER</t>
        </is>
      </c>
      <c r="N62" t="inlineStr">
        <is>
          <t>cœur</t>
        </is>
      </c>
      <c r="O62" s="2" t="n">
        <v>55.99</v>
      </c>
      <c r="P62" t="inlineStr">
        <is>
          <t>Coût par article Shopify — taille M</t>
        </is>
      </c>
      <c r="Q62" t="inlineStr">
        <is>
          <t>NON VÉRIFIÉ (accès AliExpress bloqué)</t>
        </is>
      </c>
      <c r="R62" t="inlineStr">
        <is>
          <t>reflective no pull dog harness padded</t>
        </is>
      </c>
      <c r="S62" t="inlineStr">
        <is>
          <t>https://harnais-chien-expert.fr/products/harnais-chien-rouge-reflechissant</t>
        </is>
      </c>
      <c r="T62" t="inlineStr">
        <is>
          <t>https://cdn.shopify.com/s/files/1/0992/8553/3046/files/harnais-chien-rouge-reflechissant-vue-face.webp?v=1787826226</t>
        </is>
      </c>
    </row>
    <row r="63">
      <c r="A63" t="inlineStr">
        <is>
          <t>Harnais Chien Bleu Réfléchissant</t>
        </is>
      </c>
      <c r="B63" s="2" t="n">
        <v>49.99</v>
      </c>
      <c r="C63" s="2" t="n"/>
      <c r="D63" s="3" t="n">
        <v>4.42</v>
      </c>
      <c r="E63" s="4" t="inlineStr">
        <is>
          <t>Recherche à vérifier</t>
        </is>
      </c>
      <c r="F63" s="2">
        <f>IF(D63&lt;10,1.99,0)</f>
        <v/>
      </c>
      <c r="G63" s="3" t="n">
        <v>3.6</v>
      </c>
      <c r="H63" s="2">
        <f>D63+F63+G63</f>
        <v/>
      </c>
      <c r="I63" s="5">
        <f>B63/H63</f>
        <v/>
      </c>
      <c r="J63" s="2" t="n">
        <v>44.99</v>
      </c>
      <c r="K63" s="5">
        <f>J63/H63</f>
        <v/>
      </c>
      <c r="L63" s="6" t="inlineStr"/>
      <c r="M63" t="inlineStr">
        <is>
          <t>BAISSER</t>
        </is>
      </c>
      <c r="N63" t="inlineStr">
        <is>
          <t>cœur</t>
        </is>
      </c>
      <c r="O63" s="2" t="n">
        <v>55.99</v>
      </c>
      <c r="P63" t="inlineStr">
        <is>
          <t>Coût par article Shopify — taille M</t>
        </is>
      </c>
      <c r="Q63" t="inlineStr">
        <is>
          <t>NON VÉRIFIÉ (accès AliExpress bloqué)</t>
        </is>
      </c>
      <c r="R63" t="inlineStr">
        <is>
          <t>reflective no pull dog harness padded</t>
        </is>
      </c>
      <c r="S63" t="inlineStr">
        <is>
          <t>https://harnais-chien-expert.fr/products/harnais-chien-bleu-reflechissant</t>
        </is>
      </c>
      <c r="T63" t="inlineStr">
        <is>
          <t>https://cdn.shopify.com/s/files/1/0992/8553/3046/files/harnais-chien-bleu-reflechissant-vue-face.webp?v=1787826236</t>
        </is>
      </c>
    </row>
    <row r="64">
      <c r="A64" t="inlineStr">
        <is>
          <t>Harnais Chien Handicapé Camouflage</t>
        </is>
      </c>
      <c r="B64" s="2" t="n">
        <v>49.99</v>
      </c>
      <c r="C64" s="2" t="n"/>
      <c r="D64" s="3" t="n">
        <v>7.06</v>
      </c>
      <c r="E64" s="4" t="inlineStr">
        <is>
          <t>Recherche à vérifier</t>
        </is>
      </c>
      <c r="F64" s="2">
        <f>IF(D64&lt;10,1.99,0)</f>
        <v/>
      </c>
      <c r="G64" s="3" t="n">
        <v>3.6</v>
      </c>
      <c r="H64" s="2">
        <f>D64+F64+G64</f>
        <v/>
      </c>
      <c r="I64" s="5">
        <f>B64/H64</f>
        <v/>
      </c>
      <c r="J64" s="2" t="n">
        <v>44.99</v>
      </c>
      <c r="K64" s="5">
        <f>J64/H64</f>
        <v/>
      </c>
      <c r="L64" s="6" t="inlineStr"/>
      <c r="M64" t="inlineStr">
        <is>
          <t>BAISSER</t>
        </is>
      </c>
      <c r="N64" t="inlineStr">
        <is>
          <t>cœur</t>
        </is>
      </c>
      <c r="O64" s="2" t="n">
        <v>55.99</v>
      </c>
      <c r="P64" t="inlineStr">
        <is>
          <t>Coût par article Shopify — taille M</t>
        </is>
      </c>
      <c r="Q64" t="inlineStr">
        <is>
          <t>NON VÉRIFIÉ (accès AliExpress bloqué)</t>
        </is>
      </c>
      <c r="R64" t="inlineStr">
        <is>
          <t>dog rear lift support harness</t>
        </is>
      </c>
      <c r="S64" t="inlineStr">
        <is>
          <t>https://harnais-chien-expert.fr/products/harnais-chien-handicape-camouflage</t>
        </is>
      </c>
      <c r="T64" t="inlineStr">
        <is>
          <t>https://cdn.shopify.com/s/files/1/0992/8553/3046/files/harnais-chien-handicape-camouflage-vue-produit.webp?v=1787826246</t>
        </is>
      </c>
    </row>
    <row r="65">
      <c r="A65" t="inlineStr">
        <is>
          <t>Harnais Chien Handicapé Violet</t>
        </is>
      </c>
      <c r="B65" s="2" t="n">
        <v>49.99</v>
      </c>
      <c r="C65" s="2" t="n"/>
      <c r="D65" s="3" t="n">
        <v>6.71</v>
      </c>
      <c r="E65" s="4" t="inlineStr">
        <is>
          <t>Recherche à vérifier</t>
        </is>
      </c>
      <c r="F65" s="2">
        <f>IF(D65&lt;10,1.99,0)</f>
        <v/>
      </c>
      <c r="G65" s="3" t="n">
        <v>3.6</v>
      </c>
      <c r="H65" s="2">
        <f>D65+F65+G65</f>
        <v/>
      </c>
      <c r="I65" s="5">
        <f>B65/H65</f>
        <v/>
      </c>
      <c r="J65" s="2" t="n">
        <v>44.99</v>
      </c>
      <c r="K65" s="5">
        <f>J65/H65</f>
        <v/>
      </c>
      <c r="L65" s="6" t="inlineStr"/>
      <c r="M65" t="inlineStr">
        <is>
          <t>BAISSER</t>
        </is>
      </c>
      <c r="N65" t="inlineStr">
        <is>
          <t>cœur</t>
        </is>
      </c>
      <c r="O65" s="2" t="n">
        <v>55.99</v>
      </c>
      <c r="P65" t="inlineStr">
        <is>
          <t>Coût par article Shopify — taille M</t>
        </is>
      </c>
      <c r="Q65" t="inlineStr">
        <is>
          <t>NON VÉRIFIÉ (accès AliExpress bloqué)</t>
        </is>
      </c>
      <c r="R65" t="inlineStr">
        <is>
          <t>dog rear lift support harness</t>
        </is>
      </c>
      <c r="S65" t="inlineStr">
        <is>
          <t>https://harnais-chien-expert.fr/products/harnais-chien-handicape-violet</t>
        </is>
      </c>
      <c r="T65" t="inlineStr">
        <is>
          <t>https://cdn.shopify.com/s/files/1/0992/8553/3046/files/harnais-chien-handicape-violet-vue-produit.webp?v=1787826255</t>
        </is>
      </c>
    </row>
    <row r="66">
      <c r="A66" t="inlineStr">
        <is>
          <t>Sangle Chien Handicapé Noire</t>
        </is>
      </c>
      <c r="B66" s="2" t="n">
        <v>49.99</v>
      </c>
      <c r="C66" s="2" t="n"/>
      <c r="D66" s="3" t="n">
        <v>6.87</v>
      </c>
      <c r="E66" s="4" t="inlineStr">
        <is>
          <t>Recherche à vérifier</t>
        </is>
      </c>
      <c r="F66" s="2">
        <f>IF(D66&lt;10,1.99,0)</f>
        <v/>
      </c>
      <c r="G66" s="3" t="n">
        <v>3.6</v>
      </c>
      <c r="H66" s="2">
        <f>D66+F66+G66</f>
        <v/>
      </c>
      <c r="I66" s="5">
        <f>B66/H66</f>
        <v/>
      </c>
      <c r="J66" s="2" t="n">
        <v>44.99</v>
      </c>
      <c r="K66" s="5">
        <f>J66/H66</f>
        <v/>
      </c>
      <c r="L66" s="6" t="inlineStr"/>
      <c r="M66" t="inlineStr">
        <is>
          <t>BAISSER</t>
        </is>
      </c>
      <c r="N66" t="inlineStr">
        <is>
          <t>cœur</t>
        </is>
      </c>
      <c r="O66" s="2" t="n">
        <v>55.99</v>
      </c>
      <c r="P66" t="inlineStr">
        <is>
          <t>Coût par article Shopify — taille M</t>
        </is>
      </c>
      <c r="Q66" t="inlineStr">
        <is>
          <t>NON VÉRIFIÉ (accès AliExpress bloqué)</t>
        </is>
      </c>
      <c r="R66" t="inlineStr">
        <is>
          <t>dog rear lift support harness</t>
        </is>
      </c>
      <c r="S66" t="inlineStr">
        <is>
          <t>https://harnais-chien-expert.fr/products/sangle-chien-handicape-noire</t>
        </is>
      </c>
      <c r="T66" t="inlineStr">
        <is>
          <t>https://cdn.shopify.com/s/files/1/0992/8553/3046/files/sangle-chien-handicape-noire-vue-portee.webp?v=1787826263</t>
        </is>
      </c>
    </row>
    <row r="67">
      <c r="A67" t="inlineStr">
        <is>
          <t>Harnais Chien Handicapé Gris</t>
        </is>
      </c>
      <c r="B67" s="2" t="n">
        <v>49.99</v>
      </c>
      <c r="C67" s="2" t="n"/>
      <c r="D67" s="3" t="n">
        <v>8.07</v>
      </c>
      <c r="E67" s="4" t="inlineStr">
        <is>
          <t>Recherche à vérifier</t>
        </is>
      </c>
      <c r="F67" s="2">
        <f>IF(D67&lt;10,1.99,0)</f>
        <v/>
      </c>
      <c r="G67" s="3" t="n">
        <v>3.6</v>
      </c>
      <c r="H67" s="2">
        <f>D67+F67+G67</f>
        <v/>
      </c>
      <c r="I67" s="5">
        <f>B67/H67</f>
        <v/>
      </c>
      <c r="J67" s="2" t="n">
        <v>44.99</v>
      </c>
      <c r="K67" s="5">
        <f>J67/H67</f>
        <v/>
      </c>
      <c r="L67" s="6" t="inlineStr"/>
      <c r="M67" t="inlineStr">
        <is>
          <t>BAISSER</t>
        </is>
      </c>
      <c r="N67" t="inlineStr">
        <is>
          <t>cœur</t>
        </is>
      </c>
      <c r="O67" s="2" t="n">
        <v>55.99</v>
      </c>
      <c r="P67" t="inlineStr">
        <is>
          <t>Coût par article Shopify — taille M</t>
        </is>
      </c>
      <c r="Q67" t="inlineStr">
        <is>
          <t>NON VÉRIFIÉ (accès AliExpress bloqué)</t>
        </is>
      </c>
      <c r="R67" t="inlineStr">
        <is>
          <t>dog rear lift support harness</t>
        </is>
      </c>
      <c r="S67" t="inlineStr">
        <is>
          <t>https://harnais-chien-expert.fr/products/harnais-chien-handicape-gris</t>
        </is>
      </c>
      <c r="T67" t="inlineStr">
        <is>
          <t>https://cdn.shopify.com/s/files/1/0992/8553/3046/files/harnais-chien-handicape-gris-vue-produit.webp?v=1787826272</t>
        </is>
      </c>
    </row>
    <row r="68">
      <c r="A68" t="inlineStr">
        <is>
          <t>Harnais Chien Handicapé Bleu Renforcé</t>
        </is>
      </c>
      <c r="B68" s="2" t="n">
        <v>49.99</v>
      </c>
      <c r="C68" s="2" t="n"/>
      <c r="D68" s="3" t="n">
        <v>8.1</v>
      </c>
      <c r="E68" s="4" t="inlineStr">
        <is>
          <t>Recherche à vérifier</t>
        </is>
      </c>
      <c r="F68" s="2">
        <f>IF(D68&lt;10,1.99,0)</f>
        <v/>
      </c>
      <c r="G68" s="3" t="n">
        <v>3.6</v>
      </c>
      <c r="H68" s="2">
        <f>D68+F68+G68</f>
        <v/>
      </c>
      <c r="I68" s="5">
        <f>B68/H68</f>
        <v/>
      </c>
      <c r="J68" s="2" t="n">
        <v>44.99</v>
      </c>
      <c r="K68" s="5">
        <f>J68/H68</f>
        <v/>
      </c>
      <c r="L68" s="6" t="inlineStr"/>
      <c r="M68" t="inlineStr">
        <is>
          <t>BAISSER</t>
        </is>
      </c>
      <c r="N68" t="inlineStr">
        <is>
          <t>cœur</t>
        </is>
      </c>
      <c r="O68" s="2" t="n">
        <v>55.99</v>
      </c>
      <c r="P68" t="inlineStr">
        <is>
          <t>Coût par article Shopify — taille M</t>
        </is>
      </c>
      <c r="Q68" t="inlineStr">
        <is>
          <t>NON VÉRIFIÉ (accès AliExpress bloqué)</t>
        </is>
      </c>
      <c r="R68" t="inlineStr">
        <is>
          <t>dog rear lift support harness</t>
        </is>
      </c>
      <c r="S68" t="inlineStr">
        <is>
          <t>https://harnais-chien-expert.fr/products/harnais-chien-handicape-bleu-renforce</t>
        </is>
      </c>
      <c r="T68" t="inlineStr">
        <is>
          <t>https://cdn.shopify.com/s/files/1/0992/8553/3046/files/harnais-chien-handicape-bleu-renforce-vue-produit.webp?v=1787826282</t>
        </is>
      </c>
    </row>
    <row r="69">
      <c r="A69" t="inlineStr">
        <is>
          <t>Harnais Chien Handicapé Rose</t>
        </is>
      </c>
      <c r="B69" s="2" t="n">
        <v>49.99</v>
      </c>
      <c r="C69" s="2" t="n"/>
      <c r="D69" s="3" t="n">
        <v>6.7</v>
      </c>
      <c r="E69" s="4" t="inlineStr">
        <is>
          <t>Recherche à vérifier</t>
        </is>
      </c>
      <c r="F69" s="2">
        <f>IF(D69&lt;10,1.99,0)</f>
        <v/>
      </c>
      <c r="G69" s="3" t="n">
        <v>3.6</v>
      </c>
      <c r="H69" s="2">
        <f>D69+F69+G69</f>
        <v/>
      </c>
      <c r="I69" s="5">
        <f>B69/H69</f>
        <v/>
      </c>
      <c r="J69" s="2" t="n">
        <v>44.99</v>
      </c>
      <c r="K69" s="5">
        <f>J69/H69</f>
        <v/>
      </c>
      <c r="L69" s="6" t="inlineStr"/>
      <c r="M69" t="inlineStr">
        <is>
          <t>BAISSER</t>
        </is>
      </c>
      <c r="N69" t="inlineStr">
        <is>
          <t>cœur</t>
        </is>
      </c>
      <c r="O69" s="2" t="n">
        <v>55.99</v>
      </c>
      <c r="P69" t="inlineStr">
        <is>
          <t>Coût par article Shopify — taille M</t>
        </is>
      </c>
      <c r="Q69" t="inlineStr">
        <is>
          <t>NON VÉRIFIÉ (accès AliExpress bloqué)</t>
        </is>
      </c>
      <c r="R69" t="inlineStr">
        <is>
          <t>dog rear lift support harness</t>
        </is>
      </c>
      <c r="S69" t="inlineStr">
        <is>
          <t>https://harnais-chien-expert.fr/products/harnais-chien-handicape-rose</t>
        </is>
      </c>
      <c r="T69" t="inlineStr">
        <is>
          <t>https://cdn.shopify.com/s/files/1/0992/8553/3046/files/harnais-chien-handicape-rose-vue-produit.webp?v=1787826292</t>
        </is>
      </c>
    </row>
    <row r="70">
      <c r="A70" t="inlineStr">
        <is>
          <t>Harnais Chien Handicapé Bleu</t>
        </is>
      </c>
      <c r="B70" s="2" t="n">
        <v>49.99</v>
      </c>
      <c r="C70" s="2" t="n"/>
      <c r="D70" s="3" t="n">
        <v>6.99</v>
      </c>
      <c r="E70" s="4" t="inlineStr">
        <is>
          <t>Recherche à vérifier</t>
        </is>
      </c>
      <c r="F70" s="2">
        <f>IF(D70&lt;10,1.99,0)</f>
        <v/>
      </c>
      <c r="G70" s="3" t="n">
        <v>3.6</v>
      </c>
      <c r="H70" s="2">
        <f>D70+F70+G70</f>
        <v/>
      </c>
      <c r="I70" s="5">
        <f>B70/H70</f>
        <v/>
      </c>
      <c r="J70" s="2" t="n">
        <v>44.99</v>
      </c>
      <c r="K70" s="5">
        <f>J70/H70</f>
        <v/>
      </c>
      <c r="L70" s="6" t="inlineStr"/>
      <c r="M70" t="inlineStr">
        <is>
          <t>BAISSER</t>
        </is>
      </c>
      <c r="N70" t="inlineStr">
        <is>
          <t>cœur</t>
        </is>
      </c>
      <c r="O70" s="2" t="n">
        <v>55.99</v>
      </c>
      <c r="P70" t="inlineStr">
        <is>
          <t>Coût par article Shopify — taille M</t>
        </is>
      </c>
      <c r="Q70" t="inlineStr">
        <is>
          <t>NON VÉRIFIÉ (accès AliExpress bloqué)</t>
        </is>
      </c>
      <c r="R70" t="inlineStr">
        <is>
          <t>dog rear lift support harness</t>
        </is>
      </c>
      <c r="S70" t="inlineStr">
        <is>
          <t>https://harnais-chien-expert.fr/products/harnais-chien-handicape-bleu</t>
        </is>
      </c>
      <c r="T70" t="inlineStr">
        <is>
          <t>https://cdn.shopify.com/s/files/1/0992/8553/3046/files/harnais-chien-handicape-bleu-vue-produit.webp?v=1787826302</t>
        </is>
      </c>
    </row>
    <row r="71">
      <c r="A71" t="inlineStr">
        <is>
          <t>Harnais Chien Handicapé Noir</t>
        </is>
      </c>
      <c r="B71" s="2" t="n">
        <v>49.99</v>
      </c>
      <c r="C71" s="2" t="n"/>
      <c r="D71" s="3" t="n">
        <v>7.03</v>
      </c>
      <c r="E71" s="4" t="inlineStr">
        <is>
          <t>Recherche à vérifier</t>
        </is>
      </c>
      <c r="F71" s="2">
        <f>IF(D71&lt;10,1.99,0)</f>
        <v/>
      </c>
      <c r="G71" s="3" t="n">
        <v>3.6</v>
      </c>
      <c r="H71" s="2">
        <f>D71+F71+G71</f>
        <v/>
      </c>
      <c r="I71" s="5">
        <f>B71/H71</f>
        <v/>
      </c>
      <c r="J71" s="2" t="n">
        <v>44.99</v>
      </c>
      <c r="K71" s="5">
        <f>J71/H71</f>
        <v/>
      </c>
      <c r="L71" s="6" t="inlineStr"/>
      <c r="M71" t="inlineStr">
        <is>
          <t>BAISSER</t>
        </is>
      </c>
      <c r="N71" t="inlineStr">
        <is>
          <t>cœur</t>
        </is>
      </c>
      <c r="O71" s="2" t="n">
        <v>55.99</v>
      </c>
      <c r="P71" t="inlineStr">
        <is>
          <t>Coût par article Shopify — taille M</t>
        </is>
      </c>
      <c r="Q71" t="inlineStr">
        <is>
          <t>NON VÉRIFIÉ (accès AliExpress bloqué)</t>
        </is>
      </c>
      <c r="R71" t="inlineStr">
        <is>
          <t>dog rear lift support harness</t>
        </is>
      </c>
      <c r="S71" t="inlineStr">
        <is>
          <t>https://harnais-chien-expert.fr/products/harnais-chien-handicape-noir</t>
        </is>
      </c>
      <c r="T71" t="inlineStr">
        <is>
          <t>https://cdn.shopify.com/s/files/1/0992/8553/3046/files/harnais-chien-handicape-noir-vue-produit.webp?v=1787826312</t>
        </is>
      </c>
    </row>
    <row r="72">
      <c r="A72" t="inlineStr">
        <is>
          <t>Laisse Élastique Réfléchissante Mains Libres pour Chien</t>
        </is>
      </c>
      <c r="B72" s="2" t="n">
        <v>19.99</v>
      </c>
      <c r="C72" s="2" t="n"/>
      <c r="D72" s="3" t="n">
        <v>13.3</v>
      </c>
      <c r="E72" s="4" t="inlineStr">
        <is>
          <t>Recherche à vérifier</t>
        </is>
      </c>
      <c r="F72" s="2">
        <f>IF(D72&lt;10,1.99,0)</f>
        <v/>
      </c>
      <c r="G72" s="3" t="n">
        <v>3.6</v>
      </c>
      <c r="H72" s="2">
        <f>D72+F72+G72</f>
        <v/>
      </c>
      <c r="I72" s="5">
        <f>B72/H72</f>
        <v/>
      </c>
      <c r="J72" s="2" t="n">
        <v>19.99</v>
      </c>
      <c r="K72" s="5">
        <f>J72/H72</f>
        <v/>
      </c>
      <c r="L72" s="6" t="inlineStr">
        <is>
          <t>Même au plafond 29.99 € le coef. n'est que 1.77 (2,5 exigerait ≥ 42.99 €). Prix nécessaire (29.99 €) irréaliste vs prix actuel : à retirer ou à proposer uniquement en bundle/upsell (la taxe d'import de 3,60 € pèse trop sur un petit article). Prix laissé inchangé en attendant.</t>
        </is>
      </c>
      <c r="M72" t="inlineStr">
        <is>
          <t>RETIRER / changer de fournisseur</t>
        </is>
      </c>
      <c r="N72" t="inlineStr">
        <is>
          <t>accessoire</t>
        </is>
      </c>
      <c r="O72" s="2" t="n">
        <v>23.99</v>
      </c>
      <c r="P72" t="inlineStr">
        <is>
          <t>Coût par article Shopify — toutes variantes</t>
        </is>
      </c>
      <c r="Q72" t="inlineStr">
        <is>
          <t>NON VÉRIFIÉ (accès AliExpress bloqué)</t>
        </is>
      </c>
      <c r="R72" t="inlineStr">
        <is>
          <t>hands free bungee dog leash reflective</t>
        </is>
      </c>
      <c r="S72" t="inlineStr">
        <is>
          <t>https://harnais-chien-expert.fr/products/laisse-elastique-reflechissante-mains-libres-chien</t>
        </is>
      </c>
      <c r="T72" t="inlineStr">
        <is>
          <t>https://cdn.shopify.com/s/files/1/0992/8553/3046/files/laisse-elastique-reflechissante-mains-libres-chien-rouge.webp?v=1787750131</t>
        </is>
      </c>
    </row>
    <row r="73">
      <c r="A73" t="inlineStr">
        <is>
          <t>Laisse Tactique Amortissante à Double Poignée</t>
        </is>
      </c>
      <c r="B73" s="2" t="n">
        <v>29.99</v>
      </c>
      <c r="C73" s="2" t="n"/>
      <c r="D73" s="3" t="n">
        <v>11.06</v>
      </c>
      <c r="E73" s="4" t="inlineStr">
        <is>
          <t>Recherche à vérifier</t>
        </is>
      </c>
      <c r="F73" s="2">
        <f>IF(D73&lt;10,1.99,0)</f>
        <v/>
      </c>
      <c r="G73" s="3" t="n">
        <v>3.6</v>
      </c>
      <c r="H73" s="2">
        <f>D73+F73+G73</f>
        <v/>
      </c>
      <c r="I73" s="5">
        <f>B73/H73</f>
        <v/>
      </c>
      <c r="J73" s="2" t="n">
        <v>29.99</v>
      </c>
      <c r="K73" s="5">
        <f>J73/H73</f>
        <v/>
      </c>
      <c r="L73" s="6" t="inlineStr">
        <is>
          <t>Coef. 2,5 impossible sous le plafond 29.99 € (il faudrait ≥ 36.99 €) : renégocier le fournisseur ou en trouver un moins cher.</t>
        </is>
      </c>
      <c r="M73" t="inlineStr">
        <is>
          <t>GARDER (marge faible)</t>
        </is>
      </c>
      <c r="N73" t="inlineStr">
        <is>
          <t>accessoire</t>
        </is>
      </c>
      <c r="O73" s="2" t="n">
        <v>36.99</v>
      </c>
      <c r="P73" t="inlineStr">
        <is>
          <t>Coût par article Shopify — toutes variantes</t>
        </is>
      </c>
      <c r="Q73" t="inlineStr">
        <is>
          <t>NON VÉRIFIÉ (accès AliExpress bloqué)</t>
        </is>
      </c>
      <c r="R73" t="inlineStr">
        <is>
          <t>tactical dog harness molle</t>
        </is>
      </c>
      <c r="S73" t="inlineStr">
        <is>
          <t>https://harnais-chien-expert.fr/products/laisse-tactique-amortissante-double-poignee</t>
        </is>
      </c>
      <c r="T73" t="inlineStr">
        <is>
          <t>https://cdn.shopify.com/s/files/1/0992/8553/3046/files/laisse-tactique-amortissante-double-poignee-beige.webp?v=1787826343</t>
        </is>
      </c>
    </row>
    <row r="74">
      <c r="A74" t="inlineStr">
        <is>
          <t>Laisse Réfléchissante Renforcée à Poignée Rembourrée</t>
        </is>
      </c>
      <c r="B74" s="2" t="n">
        <v>15.99</v>
      </c>
      <c r="C74" s="2" t="n">
        <v>35.99</v>
      </c>
      <c r="D74" s="3" t="n">
        <v>8.26</v>
      </c>
      <c r="E74" s="4" t="inlineStr">
        <is>
          <t>Recherche à vérifier</t>
        </is>
      </c>
      <c r="F74" s="2">
        <f>IF(D74&lt;10,1.99,0)</f>
        <v/>
      </c>
      <c r="G74" s="3" t="n">
        <v>3.6</v>
      </c>
      <c r="H74" s="2">
        <f>D74+F74+G74</f>
        <v/>
      </c>
      <c r="I74" s="5">
        <f>B74/H74</f>
        <v/>
      </c>
      <c r="J74" s="2" t="n">
        <v>15.99</v>
      </c>
      <c r="K74" s="5">
        <f>J74/H74</f>
        <v/>
      </c>
      <c r="L74" s="6" t="inlineStr">
        <is>
          <t>Coef. 2,5 impossible sous le plafond 29.99 € (il faudrait ≥ 34.99 €) : renégocier le fournisseur ou en trouver un moins cher. Prix nécessaire (29.99 €) irréaliste vs prix actuel : à retirer ou à proposer uniquement en bundle/upsell (la taxe d'import de 3,60 € pèse trop sur un petit article). Prix laissé inchangé en attendant. Prix barré actuel = -56% : hors fourchette réaliste (-15/-25 %), risque Omnibus.</t>
        </is>
      </c>
      <c r="M74" t="inlineStr">
        <is>
          <t>RETIRER / changer de fournisseur</t>
        </is>
      </c>
      <c r="N74" t="inlineStr">
        <is>
          <t>accessoire</t>
        </is>
      </c>
      <c r="O74" s="2" t="n">
        <v>18.99</v>
      </c>
      <c r="P74" t="inlineStr">
        <is>
          <t>Coût par article Shopify — taille médiane (2m)</t>
        </is>
      </c>
      <c r="Q74" t="inlineStr">
        <is>
          <t>NON VÉRIFIÉ (accès AliExpress bloqué)</t>
        </is>
      </c>
      <c r="R74" t="inlineStr">
        <is>
          <t>reflective dog leash padded handle</t>
        </is>
      </c>
      <c r="S74" t="inlineStr">
        <is>
          <t>https://harnais-chien-expert.fr/products/laisse-reflechissante-renforcee-poignee-rembourree</t>
        </is>
      </c>
      <c r="T74" t="inlineStr">
        <is>
          <t>https://cdn.shopify.com/s/files/1/0992/8553/3046/files/laisse-reflechissante-renforcee-poignee-rembourree-noir.webp?v=1787826359</t>
        </is>
      </c>
    </row>
    <row r="75">
      <c r="A75" t="inlineStr">
        <is>
          <t>Distributeur de Sacs à Crottes pour Chien</t>
        </is>
      </c>
      <c r="B75" s="2" t="n">
        <v>14.99</v>
      </c>
      <c r="C75" s="2" t="n"/>
      <c r="D75" s="3" t="n">
        <v>4.76</v>
      </c>
      <c r="E75" s="4" t="inlineStr">
        <is>
          <t>Recherche à vérifier</t>
        </is>
      </c>
      <c r="F75" s="2">
        <f>IF(D75&lt;10,1.99,0)</f>
        <v/>
      </c>
      <c r="G75" s="3" t="n">
        <v>3.6</v>
      </c>
      <c r="H75" s="2">
        <f>D75+F75+G75</f>
        <v/>
      </c>
      <c r="I75" s="5">
        <f>B75/H75</f>
        <v/>
      </c>
      <c r="J75" s="2" t="n">
        <v>14.99</v>
      </c>
      <c r="K75" s="5">
        <f>J75/H75</f>
        <v/>
      </c>
      <c r="L75" s="6" t="inlineStr">
        <is>
          <t>Prix nécessaire (29.99 €) irréaliste vs prix actuel : à retirer ou à proposer uniquement en bundle/upsell (la taxe d'import de 3,60 € pèse trop sur un petit article). Prix laissé inchangé en attendant.</t>
        </is>
      </c>
      <c r="M75" t="inlineStr">
        <is>
          <t>RETIRER / changer de fournisseur</t>
        </is>
      </c>
      <c r="N75" t="inlineStr">
        <is>
          <t>accessoire</t>
        </is>
      </c>
      <c r="O75" s="2" t="n">
        <v>17.99</v>
      </c>
      <c r="P75" t="inlineStr">
        <is>
          <t>Coût par article Shopify — toutes variantes</t>
        </is>
      </c>
      <c r="Q75" t="inlineStr">
        <is>
          <t>NON VÉRIFIÉ (accès AliExpress bloqué)</t>
        </is>
      </c>
      <c r="R75" t="inlineStr">
        <is>
          <t>dog poop bag dispenser</t>
        </is>
      </c>
      <c r="S75" t="inlineStr">
        <is>
          <t>https://harnais-chien-expert.fr/products/distributeur-sacs-crottes-chien</t>
        </is>
      </c>
      <c r="T75" t="inlineStr">
        <is>
          <t>https://cdn.shopify.com/s/files/1/0992/8553/3046/files/distributeur-sacs-crottes-chien-vue-face.webp?v=1787750183</t>
        </is>
      </c>
    </row>
    <row r="76">
      <c r="A76" t="inlineStr">
        <is>
          <t>Harnais 3 Points Tactique</t>
        </is>
      </c>
      <c r="B76" s="2" t="n">
        <v>54.99</v>
      </c>
      <c r="C76" s="2" t="n"/>
      <c r="D76" s="3" t="n">
        <v>14.55</v>
      </c>
      <c r="E76" s="4" t="inlineStr">
        <is>
          <t>Recherche à vérifier</t>
        </is>
      </c>
      <c r="F76" s="2">
        <f>IF(D76&lt;10,1.99,0)</f>
        <v/>
      </c>
      <c r="G76" s="3" t="n">
        <v>3.6</v>
      </c>
      <c r="H76" s="2">
        <f>D76+F76+G76</f>
        <v/>
      </c>
      <c r="I76" s="5">
        <f>B76/H76</f>
        <v/>
      </c>
      <c r="J76" s="2" t="n">
        <v>49.99</v>
      </c>
      <c r="K76" s="5">
        <f>J76/H76</f>
        <v/>
      </c>
      <c r="L76" s="6" t="inlineStr">
        <is>
          <t>Tactique : marge insuffisante pour descendre à 44,99 €.</t>
        </is>
      </c>
      <c r="M76" t="inlineStr">
        <is>
          <t>BAISSER</t>
        </is>
      </c>
      <c r="N76" t="inlineStr">
        <is>
          <t>tactique</t>
        </is>
      </c>
      <c r="O76" s="2" t="n">
        <v>61.99</v>
      </c>
      <c r="P76" t="inlineStr">
        <is>
          <t>Coût par article Shopify — taille M</t>
        </is>
      </c>
      <c r="Q76" t="inlineStr">
        <is>
          <t>NON VÉRIFIÉ (accès AliExpress bloqué)</t>
        </is>
      </c>
      <c r="R76" t="inlineStr">
        <is>
          <t>escape proof dog harness 3 point</t>
        </is>
      </c>
      <c r="S76" t="inlineStr">
        <is>
          <t>https://harnais-chien-expert.fr/products/harnais-3-points-tactique</t>
        </is>
      </c>
      <c r="T76" t="inlineStr">
        <is>
          <t>https://cdn.shopify.com/s/files/1/0992/8553/3046/files/harnais-chien-tactique-3-points-noir.webp?v=1790620313</t>
        </is>
      </c>
    </row>
    <row r="77">
      <c r="A77" t="inlineStr">
        <is>
          <t>Harnais 3 Points Classique</t>
        </is>
      </c>
      <c r="B77" s="2" t="n">
        <v>54.99</v>
      </c>
      <c r="C77" s="2" t="n"/>
      <c r="D77" s="3" t="n">
        <v>11.33</v>
      </c>
      <c r="E77" s="4" t="inlineStr">
        <is>
          <t>Recherche à vérifier</t>
        </is>
      </c>
      <c r="F77" s="2">
        <f>IF(D77&lt;10,1.99,0)</f>
        <v/>
      </c>
      <c r="G77" s="3" t="n">
        <v>3.6</v>
      </c>
      <c r="H77" s="2">
        <f>D77+F77+G77</f>
        <v/>
      </c>
      <c r="I77" s="5">
        <f>B77/H77</f>
        <v/>
      </c>
      <c r="J77" s="2" t="n">
        <v>44.99</v>
      </c>
      <c r="K77" s="5">
        <f>J77/H77</f>
        <v/>
      </c>
      <c r="L77" s="6" t="inlineStr"/>
      <c r="M77" t="inlineStr">
        <is>
          <t>BAISSER</t>
        </is>
      </c>
      <c r="N77" t="inlineStr">
        <is>
          <t>cœur</t>
        </is>
      </c>
      <c r="O77" s="2" t="n">
        <v>55.99</v>
      </c>
      <c r="P77" t="inlineStr">
        <is>
          <t>Coût par article Shopify — taille M</t>
        </is>
      </c>
      <c r="Q77" t="inlineStr">
        <is>
          <t>NON VÉRIFIÉ (accès AliExpress bloqué)</t>
        </is>
      </c>
      <c r="R77" t="inlineStr">
        <is>
          <t>escape proof dog harness 3 point</t>
        </is>
      </c>
      <c r="S77" t="inlineStr">
        <is>
          <t>https://harnais-chien-expert.fr/products/harnais-3-points-classique</t>
        </is>
      </c>
      <c r="T77" t="inlineStr">
        <is>
          <t>https://cdn.shopify.com/s/files/1/0992/8553/3046/files/harnais-chien-3-points-classique-noir.webp?v=1790593864</t>
        </is>
      </c>
    </row>
  </sheetData>
  <autoFilter ref="A1:T77"/>
  <conditionalFormatting sqref="I2:I77">
    <cfRule type="cellIs" priority="1" operator="lessThan" dxfId="0">
      <formula>2</formula>
    </cfRule>
    <cfRule type="cellIs" priority="2" operator="between" dxfId="1">
      <formula>2</formula>
      <formula>2.4999</formula>
    </cfRule>
    <cfRule type="cellIs" priority="3" operator="greaterThanOrEqual" dxfId="2">
      <formula>2.5</formula>
    </cfRule>
  </conditionalFormatting>
  <conditionalFormatting sqref="K2:K77">
    <cfRule type="cellIs" priority="4" operator="lessThan" dxfId="0">
      <formula>2</formula>
    </cfRule>
    <cfRule type="cellIs" priority="5" operator="between" dxfId="1">
      <formula>2</formula>
      <formula>2.4999</formula>
    </cfRule>
    <cfRule type="cellIs" priority="6" operator="greaterThanOrEqual" dxfId="2">
      <formula>2.5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Résumé — analyse des prix Harnais Chien Expert</t>
        </is>
      </c>
    </row>
    <row r="2" ht="45" customHeight="1">
      <c r="A2" s="8" t="inlineStr">
        <is>
          <t>Prix d'achat = « coût par article » enregistré dans Shopify (variante taille M), PAS encore vérifié sur AliExpress. Modifier la colonne D de l'onglet « Analyse prix » : coûts et coefficients se recalculent.</t>
        </is>
      </c>
    </row>
    <row r="4">
      <c r="A4" s="9" t="inlineStr">
        <is>
          <t>Nombre de produits analysés</t>
        </is>
      </c>
      <c r="B4" t="n">
        <v>76</v>
      </c>
    </row>
    <row r="5">
      <c r="A5" s="9" t="inlineStr">
        <is>
          <t>Coefficient moyen actuel</t>
        </is>
      </c>
      <c r="B5" s="5">
        <f>AVERAGE('Analyse prix'!I2:I77)</f>
        <v/>
      </c>
    </row>
    <row r="6">
      <c r="A6" s="9" t="inlineStr">
        <is>
          <t>Coefficient moyen après recommandation</t>
        </is>
      </c>
      <c r="B6" s="5">
        <f>AVERAGE('Analyse prix'!K2:K77)</f>
        <v/>
      </c>
    </row>
    <row r="7">
      <c r="A7" s="9" t="inlineStr">
        <is>
          <t>Produits sous le coefficient 2,5 (actuel)</t>
        </is>
      </c>
      <c r="B7">
        <f>COUNTIF('Analyse prix'!I2:I77,"&lt;2.5")</f>
        <v/>
      </c>
    </row>
    <row r="8">
      <c r="A8" s="9" t="inlineStr">
        <is>
          <t>Produits sous le coefficient 2,5 (après)</t>
        </is>
      </c>
      <c r="B8">
        <f>COUNTIF('Analyse prix'!K2:K77,"&lt;2.5")</f>
        <v/>
      </c>
    </row>
    <row r="10">
      <c r="A10" s="10" t="inlineStr">
        <is>
          <t>Top 5 — produits les plus margés</t>
        </is>
      </c>
    </row>
    <row r="11">
      <c r="A11" s="11" t="inlineStr">
        <is>
          <t>Produit</t>
        </is>
      </c>
      <c r="B11" s="11" t="inlineStr">
        <is>
          <t>Prix actuel</t>
        </is>
      </c>
      <c r="C11" s="11" t="inlineStr">
        <is>
          <t>Coût de revient</t>
        </is>
      </c>
      <c r="D11" s="11" t="inlineStr">
        <is>
          <t>Coefficient actuel</t>
        </is>
      </c>
      <c r="E11" s="11" t="inlineStr">
        <is>
          <t>Prix recommandé</t>
        </is>
      </c>
      <c r="F11" s="11" t="inlineStr">
        <is>
          <t>Nouveau coef.</t>
        </is>
      </c>
    </row>
    <row r="12">
      <c r="A12" t="inlineStr">
        <is>
          <t>Harnais Chien Rose</t>
        </is>
      </c>
      <c r="B12" s="2" t="n">
        <v>49.99</v>
      </c>
      <c r="C12" s="2" t="n">
        <v>9.4</v>
      </c>
      <c r="D12" s="5" t="n">
        <v>5.32</v>
      </c>
      <c r="E12" s="2" t="n">
        <v>34.99</v>
      </c>
      <c r="F12" s="5" t="n">
        <v>3.72</v>
      </c>
    </row>
    <row r="13">
      <c r="A13" t="inlineStr">
        <is>
          <t>Harnais Chien Noir</t>
        </is>
      </c>
      <c r="B13" s="2" t="n">
        <v>49.99</v>
      </c>
      <c r="C13" s="2" t="n">
        <v>9.41</v>
      </c>
      <c r="D13" s="5" t="n">
        <v>5.31</v>
      </c>
      <c r="E13" s="2" t="n">
        <v>34.99</v>
      </c>
      <c r="F13" s="5" t="n">
        <v>3.72</v>
      </c>
    </row>
    <row r="14">
      <c r="A14" t="inlineStr">
        <is>
          <t>Harnais Chien Gris</t>
        </is>
      </c>
      <c r="B14" s="2" t="n">
        <v>49.99</v>
      </c>
      <c r="C14" s="2" t="n">
        <v>9.41</v>
      </c>
      <c r="D14" s="5" t="n">
        <v>5.31</v>
      </c>
      <c r="E14" s="2" t="n">
        <v>34.99</v>
      </c>
      <c r="F14" s="5" t="n">
        <v>3.72</v>
      </c>
    </row>
    <row r="15">
      <c r="A15" t="inlineStr">
        <is>
          <t>Harnais Chien Rouge</t>
        </is>
      </c>
      <c r="B15" s="2" t="n">
        <v>49.99</v>
      </c>
      <c r="C15" s="2" t="n">
        <v>9.49</v>
      </c>
      <c r="D15" s="5" t="n">
        <v>5.27</v>
      </c>
      <c r="E15" s="2" t="n">
        <v>34.99</v>
      </c>
      <c r="F15" s="5" t="n">
        <v>3.69</v>
      </c>
    </row>
    <row r="16">
      <c r="A16" t="inlineStr">
        <is>
          <t>Harnais Chien Bleu Réfléchissant</t>
        </is>
      </c>
      <c r="B16" s="2" t="n">
        <v>49.99</v>
      </c>
      <c r="C16" s="2" t="n">
        <v>10.01</v>
      </c>
      <c r="D16" s="5" t="n">
        <v>4.99</v>
      </c>
      <c r="E16" s="2" t="n">
        <v>44.99</v>
      </c>
      <c r="F16" s="5" t="n">
        <v>4.49</v>
      </c>
    </row>
    <row r="19">
      <c r="A19" s="10" t="inlineStr">
        <is>
          <t>Top 5 — produits les moins margés</t>
        </is>
      </c>
    </row>
    <row r="20">
      <c r="A20" s="11" t="inlineStr">
        <is>
          <t>Produit</t>
        </is>
      </c>
      <c r="B20" s="11" t="inlineStr">
        <is>
          <t>Prix actuel</t>
        </is>
      </c>
      <c r="C20" s="11" t="inlineStr">
        <is>
          <t>Coût de revient</t>
        </is>
      </c>
      <c r="D20" s="11" t="inlineStr">
        <is>
          <t>Coefficient actuel</t>
        </is>
      </c>
      <c r="E20" s="11" t="inlineStr">
        <is>
          <t>Prix recommandé</t>
        </is>
      </c>
      <c r="F20" s="11" t="inlineStr">
        <is>
          <t>Nouveau coef.</t>
        </is>
      </c>
    </row>
    <row r="21">
      <c r="A21" t="inlineStr">
        <is>
          <t>Laisse Réfléchissante Renforcée à Poignée Rembourrée</t>
        </is>
      </c>
      <c r="B21" s="2" t="n">
        <v>15.99</v>
      </c>
      <c r="C21" s="2" t="n">
        <v>13.85</v>
      </c>
      <c r="D21" s="5" t="n">
        <v>1.15</v>
      </c>
      <c r="E21" s="2" t="n">
        <v>15.99</v>
      </c>
      <c r="F21" s="5" t="n">
        <v>1.15</v>
      </c>
    </row>
    <row r="22">
      <c r="A22" t="inlineStr">
        <is>
          <t>Laisse Élastique Réfléchissante Mains Libres pour Chien</t>
        </is>
      </c>
      <c r="B22" s="2" t="n">
        <v>19.99</v>
      </c>
      <c r="C22" s="2" t="n">
        <v>16.9</v>
      </c>
      <c r="D22" s="5" t="n">
        <v>1.18</v>
      </c>
      <c r="E22" s="2" t="n">
        <v>19.99</v>
      </c>
      <c r="F22" s="5" t="n">
        <v>1.18</v>
      </c>
    </row>
    <row r="23">
      <c r="A23" t="inlineStr">
        <is>
          <t>Distributeur de Sacs à Crottes pour Chien</t>
        </is>
      </c>
      <c r="B23" s="2" t="n">
        <v>14.99</v>
      </c>
      <c r="C23" s="2" t="n">
        <v>10.35</v>
      </c>
      <c r="D23" s="5" t="n">
        <v>1.45</v>
      </c>
      <c r="E23" s="2" t="n">
        <v>14.99</v>
      </c>
      <c r="F23" s="5" t="n">
        <v>1.45</v>
      </c>
    </row>
    <row r="24">
      <c r="A24" t="inlineStr">
        <is>
          <t>Harnais Chien en Cuir</t>
        </is>
      </c>
      <c r="B24" s="2" t="n">
        <v>79.98999999999999</v>
      </c>
      <c r="C24" s="2" t="n">
        <v>43.35</v>
      </c>
      <c r="D24" s="5" t="n">
        <v>1.85</v>
      </c>
      <c r="E24" s="2" t="n">
        <v>59.99</v>
      </c>
      <c r="F24" s="5" t="n">
        <v>1.38</v>
      </c>
    </row>
    <row r="25">
      <c r="A25" t="inlineStr">
        <is>
          <t>Ceinture Chien Voiture 2 en 1</t>
        </is>
      </c>
      <c r="B25" s="2" t="n">
        <v>19.99</v>
      </c>
      <c r="C25" s="2" t="n">
        <v>9.82</v>
      </c>
      <c r="D25" s="5" t="n">
        <v>2.04</v>
      </c>
      <c r="E25" s="2" t="n">
        <v>24.99</v>
      </c>
      <c r="F25" s="5" t="n">
        <v>2.54</v>
      </c>
    </row>
    <row r="28">
      <c r="A28" s="10" t="inlineStr">
        <is>
          <t>À BAISSER (47)</t>
        </is>
      </c>
    </row>
    <row r="29">
      <c r="A29" s="11" t="inlineStr">
        <is>
          <t>Produit</t>
        </is>
      </c>
      <c r="B29" s="11" t="inlineStr">
        <is>
          <t>Prix actuel</t>
        </is>
      </c>
      <c r="C29" s="11" t="inlineStr">
        <is>
          <t>Coût de revient</t>
        </is>
      </c>
      <c r="D29" s="11" t="inlineStr">
        <is>
          <t>Coefficient actuel</t>
        </is>
      </c>
      <c r="E29" s="11" t="inlineStr">
        <is>
          <t>Prix recommandé</t>
        </is>
      </c>
      <c r="F29" s="11" t="inlineStr">
        <is>
          <t>Nouveau coef.</t>
        </is>
      </c>
    </row>
    <row r="30">
      <c r="A30" t="inlineStr">
        <is>
          <t>Harnais Chien Anti Traction Tactique</t>
        </is>
      </c>
      <c r="B30" s="2" t="n">
        <v>59.99</v>
      </c>
      <c r="C30" s="2" t="n">
        <v>17.23</v>
      </c>
      <c r="D30" s="5" t="n">
        <v>3.48</v>
      </c>
      <c r="E30" s="2" t="n">
        <v>44.99</v>
      </c>
      <c r="F30" s="5" t="n">
        <v>2.61</v>
      </c>
    </row>
    <row r="31">
      <c r="A31" t="inlineStr">
        <is>
          <t>Harnais Chien Anti Traction Original</t>
        </is>
      </c>
      <c r="B31" s="2" t="n">
        <v>54.99</v>
      </c>
      <c r="C31" s="2" t="n">
        <v>14.98</v>
      </c>
      <c r="D31" s="5" t="n">
        <v>3.67</v>
      </c>
      <c r="E31" s="2" t="n">
        <v>44.99</v>
      </c>
      <c r="F31" s="5" t="n">
        <v>3</v>
      </c>
    </row>
    <row r="32">
      <c r="A32" t="inlineStr">
        <is>
          <t>Harnais 3 Points Promenade</t>
        </is>
      </c>
      <c r="B32" s="2" t="n">
        <v>54.99</v>
      </c>
      <c r="C32" s="2" t="n">
        <v>18.7</v>
      </c>
      <c r="D32" s="5" t="n">
        <v>2.94</v>
      </c>
      <c r="E32" s="2" t="n">
        <v>49.99</v>
      </c>
      <c r="F32" s="5" t="n">
        <v>2.67</v>
      </c>
    </row>
    <row r="33">
      <c r="A33" t="inlineStr">
        <is>
          <t>Harnais Chien Anti Traction avec Support AirTag</t>
        </is>
      </c>
      <c r="B33" s="2" t="n">
        <v>59.99</v>
      </c>
      <c r="C33" s="2" t="n">
        <v>14.57</v>
      </c>
      <c r="D33" s="5" t="n">
        <v>4.12</v>
      </c>
      <c r="E33" s="2" t="n">
        <v>44.99</v>
      </c>
      <c r="F33" s="5" t="n">
        <v>3.09</v>
      </c>
    </row>
    <row r="34">
      <c r="A34" t="inlineStr">
        <is>
          <t>Harnais Chien Anti Traction Réfléchissant</t>
        </is>
      </c>
      <c r="B34" s="2" t="n">
        <v>59.99</v>
      </c>
      <c r="C34" s="2" t="n">
        <v>15.53</v>
      </c>
      <c r="D34" s="5" t="n">
        <v>3.86</v>
      </c>
      <c r="E34" s="2" t="n">
        <v>44.99</v>
      </c>
      <c r="F34" s="5" t="n">
        <v>2.9</v>
      </c>
    </row>
    <row r="35">
      <c r="A35" t="inlineStr">
        <is>
          <t>Harnais Chien Anti Traction Léger</t>
        </is>
      </c>
      <c r="B35" s="2" t="n">
        <v>59.99</v>
      </c>
      <c r="C35" s="2" t="n">
        <v>14</v>
      </c>
      <c r="D35" s="5" t="n">
        <v>4.29</v>
      </c>
      <c r="E35" s="2" t="n">
        <v>44.99</v>
      </c>
      <c r="F35" s="5" t="n">
        <v>3.21</v>
      </c>
    </row>
    <row r="36">
      <c r="A36" t="inlineStr">
        <is>
          <t>Harnais Chien Anti Traction Floral</t>
        </is>
      </c>
      <c r="B36" s="2" t="n">
        <v>59.99</v>
      </c>
      <c r="C36" s="2" t="n">
        <v>18.54</v>
      </c>
      <c r="D36" s="5" t="n">
        <v>3.24</v>
      </c>
      <c r="E36" s="2" t="n">
        <v>49.99</v>
      </c>
      <c r="F36" s="5" t="n">
        <v>2.7</v>
      </c>
    </row>
    <row r="37">
      <c r="A37" t="inlineStr">
        <is>
          <t>Harnais Chien Actif Respirant</t>
        </is>
      </c>
      <c r="B37" s="2" t="n">
        <v>49.99</v>
      </c>
      <c r="C37" s="2" t="n">
        <v>13.68</v>
      </c>
      <c r="D37" s="5" t="n">
        <v>3.65</v>
      </c>
      <c r="E37" s="2" t="n">
        <v>44.99</v>
      </c>
      <c r="F37" s="5" t="n">
        <v>3.29</v>
      </c>
    </row>
    <row r="38">
      <c r="A38" t="inlineStr">
        <is>
          <t>Harnais Tactique Chien Entraînement</t>
        </is>
      </c>
      <c r="B38" s="2" t="n">
        <v>59.99</v>
      </c>
      <c r="C38" s="2" t="n">
        <v>14.62</v>
      </c>
      <c r="D38" s="5" t="n">
        <v>4.1</v>
      </c>
      <c r="E38" s="2" t="n">
        <v>39.99</v>
      </c>
      <c r="F38" s="5" t="n">
        <v>2.74</v>
      </c>
    </row>
    <row r="39">
      <c r="A39" t="inlineStr">
        <is>
          <t>Harnais Chiot Respirant Multicolore</t>
        </is>
      </c>
      <c r="B39" s="2" t="n">
        <v>49.99</v>
      </c>
      <c r="C39" s="2" t="n">
        <v>17.71</v>
      </c>
      <c r="D39" s="5" t="n">
        <v>2.82</v>
      </c>
      <c r="E39" s="2" t="n">
        <v>44.99</v>
      </c>
      <c r="F39" s="5" t="n">
        <v>2.54</v>
      </c>
    </row>
    <row r="40">
      <c r="A40" t="inlineStr">
        <is>
          <t>Harnais Chiot Maille Respirante</t>
        </is>
      </c>
      <c r="B40" s="2" t="n">
        <v>39.99</v>
      </c>
      <c r="C40" s="2" t="n">
        <v>10.4</v>
      </c>
      <c r="D40" s="5" t="n">
        <v>3.85</v>
      </c>
      <c r="E40" s="2" t="n">
        <v>34.99</v>
      </c>
      <c r="F40" s="5" t="n">
        <v>3.36</v>
      </c>
    </row>
    <row r="41">
      <c r="A41" t="inlineStr">
        <is>
          <t>Harnais Chiot Souple Respirant</t>
        </is>
      </c>
      <c r="B41" s="2" t="n">
        <v>39.99</v>
      </c>
      <c r="C41" s="2" t="n">
        <v>9.67</v>
      </c>
      <c r="D41" s="5" t="n">
        <v>4.14</v>
      </c>
      <c r="E41" s="2" t="n">
        <v>34.99</v>
      </c>
      <c r="F41" s="5" t="n">
        <v>3.62</v>
      </c>
    </row>
    <row r="42">
      <c r="A42" t="inlineStr">
        <is>
          <t>Harnais Tactique Chien Modulable</t>
        </is>
      </c>
      <c r="B42" s="2" t="n">
        <v>59.99</v>
      </c>
      <c r="C42" s="2" t="n">
        <v>18.36</v>
      </c>
      <c r="D42" s="5" t="n">
        <v>3.27</v>
      </c>
      <c r="E42" s="2" t="n">
        <v>49.99</v>
      </c>
      <c r="F42" s="5" t="n">
        <v>2.72</v>
      </c>
    </row>
    <row r="43">
      <c r="A43" t="inlineStr">
        <is>
          <t>Harnais Petit Chien Tactique Léger</t>
        </is>
      </c>
      <c r="B43" s="2" t="n">
        <v>49.99</v>
      </c>
      <c r="C43" s="2" t="n">
        <v>12.01</v>
      </c>
      <c r="D43" s="5" t="n">
        <v>4.16</v>
      </c>
      <c r="E43" s="2" t="n">
        <v>39.99</v>
      </c>
      <c r="F43" s="5" t="n">
        <v>3.33</v>
      </c>
    </row>
    <row r="44">
      <c r="A44" t="inlineStr">
        <is>
          <t>Harnais Tactique Chien Oxford</t>
        </is>
      </c>
      <c r="B44" s="2" t="n">
        <v>49.99</v>
      </c>
      <c r="C44" s="2" t="n">
        <v>14.3</v>
      </c>
      <c r="D44" s="5" t="n">
        <v>3.5</v>
      </c>
      <c r="E44" s="2" t="n">
        <v>39.99</v>
      </c>
      <c r="F44" s="5" t="n">
        <v>2.8</v>
      </c>
    </row>
    <row r="45">
      <c r="A45" t="inlineStr">
        <is>
          <t>Harnais Tactique Chien Patchs</t>
        </is>
      </c>
      <c r="B45" s="2" t="n">
        <v>59.99</v>
      </c>
      <c r="C45" s="2" t="n">
        <v>13.75</v>
      </c>
      <c r="D45" s="5" t="n">
        <v>4.36</v>
      </c>
      <c r="E45" s="2" t="n">
        <v>39.99</v>
      </c>
      <c r="F45" s="5" t="n">
        <v>2.91</v>
      </c>
    </row>
    <row r="46">
      <c r="A46" t="inlineStr">
        <is>
          <t>Harnais Tactique Chien Coloré</t>
        </is>
      </c>
      <c r="B46" s="2" t="n">
        <v>49.99</v>
      </c>
      <c r="C46" s="2" t="n">
        <v>15.24</v>
      </c>
      <c r="D46" s="5" t="n">
        <v>3.28</v>
      </c>
      <c r="E46" s="2" t="n">
        <v>39.99</v>
      </c>
      <c r="F46" s="5" t="n">
        <v>2.62</v>
      </c>
    </row>
    <row r="47">
      <c r="A47" t="inlineStr">
        <is>
          <t>Harnais Chiot Veste Respirante</t>
        </is>
      </c>
      <c r="B47" s="2" t="n">
        <v>39.99</v>
      </c>
      <c r="C47" s="2" t="n">
        <v>10.59</v>
      </c>
      <c r="D47" s="5" t="n">
        <v>3.78</v>
      </c>
      <c r="E47" s="2" t="n">
        <v>34.99</v>
      </c>
      <c r="F47" s="5" t="n">
        <v>3.3</v>
      </c>
    </row>
    <row r="48">
      <c r="A48" t="inlineStr">
        <is>
          <t>Harnais Petit Chien Motif Respirant</t>
        </is>
      </c>
      <c r="B48" s="2" t="n">
        <v>59.99</v>
      </c>
      <c r="C48" s="2" t="n">
        <v>19.07</v>
      </c>
      <c r="D48" s="5" t="n">
        <v>3.15</v>
      </c>
      <c r="E48" s="2" t="n">
        <v>49.99</v>
      </c>
      <c r="F48" s="5" t="n">
        <v>2.62</v>
      </c>
    </row>
    <row r="49">
      <c r="A49" t="inlineStr">
        <is>
          <t>Harnais Petit Chien Chic</t>
        </is>
      </c>
      <c r="B49" s="2" t="n">
        <v>59.99</v>
      </c>
      <c r="C49" s="2" t="n">
        <v>17.85</v>
      </c>
      <c r="D49" s="5" t="n">
        <v>3.36</v>
      </c>
      <c r="E49" s="2" t="n">
        <v>44.99</v>
      </c>
      <c r="F49" s="5" t="n">
        <v>2.52</v>
      </c>
    </row>
    <row r="50">
      <c r="A50" t="inlineStr">
        <is>
          <t>Harnais Tactique Chien Réfléchissant</t>
        </is>
      </c>
      <c r="B50" s="2" t="n">
        <v>49.99</v>
      </c>
      <c r="C50" s="2" t="n">
        <v>14.56</v>
      </c>
      <c r="D50" s="5" t="n">
        <v>3.43</v>
      </c>
      <c r="E50" s="2" t="n">
        <v>39.99</v>
      </c>
      <c r="F50" s="5" t="n">
        <v>2.75</v>
      </c>
    </row>
    <row r="51">
      <c r="A51" t="inlineStr">
        <is>
          <t>Harnais Chien Poignée Réfléchissant</t>
        </is>
      </c>
      <c r="B51" s="2" t="n">
        <v>49.99</v>
      </c>
      <c r="C51" s="2" t="n">
        <v>13.8</v>
      </c>
      <c r="D51" s="5" t="n">
        <v>3.62</v>
      </c>
      <c r="E51" s="2" t="n">
        <v>44.99</v>
      </c>
      <c r="F51" s="5" t="n">
        <v>3.26</v>
      </c>
    </row>
    <row r="52">
      <c r="A52" t="inlineStr">
        <is>
          <t>Harnais Petit Chien Selle Ajustable</t>
        </is>
      </c>
      <c r="B52" s="2" t="n">
        <v>39.99</v>
      </c>
      <c r="C52" s="2" t="n">
        <v>11.29</v>
      </c>
      <c r="D52" s="5" t="n">
        <v>3.54</v>
      </c>
      <c r="E52" s="2" t="n">
        <v>34.99</v>
      </c>
      <c r="F52" s="5" t="n">
        <v>3.1</v>
      </c>
    </row>
    <row r="53">
      <c r="A53" t="inlineStr">
        <is>
          <t>Harnais Petit Chien Confortable</t>
        </is>
      </c>
      <c r="B53" s="2" t="n">
        <v>49.99</v>
      </c>
      <c r="C53" s="2" t="n">
        <v>11.35</v>
      </c>
      <c r="D53" s="5" t="n">
        <v>4.4</v>
      </c>
      <c r="E53" s="2" t="n">
        <v>34.99</v>
      </c>
      <c r="F53" s="5" t="n">
        <v>3.08</v>
      </c>
    </row>
    <row r="54">
      <c r="A54" t="inlineStr">
        <is>
          <t>Harnais Chiot Classique Ajustable</t>
        </is>
      </c>
      <c r="B54" s="2" t="n">
        <v>49.99</v>
      </c>
      <c r="C54" s="2" t="n">
        <v>11.25</v>
      </c>
      <c r="D54" s="5" t="n">
        <v>4.44</v>
      </c>
      <c r="E54" s="2" t="n">
        <v>34.99</v>
      </c>
      <c r="F54" s="5" t="n">
        <v>3.11</v>
      </c>
    </row>
    <row r="55">
      <c r="A55" t="inlineStr">
        <is>
          <t>Sangle Chien Handicapé Arrière</t>
        </is>
      </c>
      <c r="B55" s="2" t="n">
        <v>49.99</v>
      </c>
      <c r="C55" s="2" t="n">
        <v>11.52</v>
      </c>
      <c r="D55" s="5" t="n">
        <v>4.34</v>
      </c>
      <c r="E55" s="2" t="n">
        <v>44.99</v>
      </c>
      <c r="F55" s="5" t="n">
        <v>3.91</v>
      </c>
    </row>
    <row r="56">
      <c r="A56" t="inlineStr">
        <is>
          <t>Harnais Petit Chien Maille Respirante</t>
        </is>
      </c>
      <c r="B56" s="2" t="n">
        <v>59.99</v>
      </c>
      <c r="C56" s="2" t="n">
        <v>14.18</v>
      </c>
      <c r="D56" s="5" t="n">
        <v>4.23</v>
      </c>
      <c r="E56" s="2" t="n">
        <v>39.99</v>
      </c>
      <c r="F56" s="5" t="n">
        <v>2.82</v>
      </c>
    </row>
    <row r="57">
      <c r="A57" t="inlineStr">
        <is>
          <t>Harnais Chiot Doux Coloré</t>
        </is>
      </c>
      <c r="B57" s="2" t="n">
        <v>39.99</v>
      </c>
      <c r="C57" s="2" t="n">
        <v>11</v>
      </c>
      <c r="D57" s="5" t="n">
        <v>3.64</v>
      </c>
      <c r="E57" s="2" t="n">
        <v>34.99</v>
      </c>
      <c r="F57" s="5" t="n">
        <v>3.18</v>
      </c>
    </row>
    <row r="58">
      <c r="A58" t="inlineStr">
        <is>
          <t>Harnais Chien Réfléchissant Ajustable</t>
        </is>
      </c>
      <c r="B58" s="2" t="n">
        <v>49.99</v>
      </c>
      <c r="C58" s="2" t="n">
        <v>13.61</v>
      </c>
      <c r="D58" s="5" t="n">
        <v>3.67</v>
      </c>
      <c r="E58" s="2" t="n">
        <v>44.99</v>
      </c>
      <c r="F58" s="5" t="n">
        <v>3.31</v>
      </c>
    </row>
    <row r="59">
      <c r="A59" t="inlineStr">
        <is>
          <t>Harnais Chiot Respirant Réglable</t>
        </is>
      </c>
      <c r="B59" s="2" t="n">
        <v>39.99</v>
      </c>
      <c r="C59" s="2" t="n">
        <v>11.3</v>
      </c>
      <c r="D59" s="5" t="n">
        <v>3.54</v>
      </c>
      <c r="E59" s="2" t="n">
        <v>34.99</v>
      </c>
      <c r="F59" s="5" t="n">
        <v>3.1</v>
      </c>
    </row>
    <row r="60">
      <c r="A60" t="inlineStr">
        <is>
          <t>Harnais Chien Noir</t>
        </is>
      </c>
      <c r="B60" s="2" t="n">
        <v>49.99</v>
      </c>
      <c r="C60" s="2" t="n">
        <v>9.41</v>
      </c>
      <c r="D60" s="5" t="n">
        <v>5.31</v>
      </c>
      <c r="E60" s="2" t="n">
        <v>34.99</v>
      </c>
      <c r="F60" s="5" t="n">
        <v>3.72</v>
      </c>
    </row>
    <row r="61">
      <c r="A61" t="inlineStr">
        <is>
          <t>Harnais Chien Rouge</t>
        </is>
      </c>
      <c r="B61" s="2" t="n">
        <v>49.99</v>
      </c>
      <c r="C61" s="2" t="n">
        <v>9.49</v>
      </c>
      <c r="D61" s="5" t="n">
        <v>5.27</v>
      </c>
      <c r="E61" s="2" t="n">
        <v>34.99</v>
      </c>
      <c r="F61" s="5" t="n">
        <v>3.69</v>
      </c>
    </row>
    <row r="62">
      <c r="A62" t="inlineStr">
        <is>
          <t>Harnais Chien Gris</t>
        </is>
      </c>
      <c r="B62" s="2" t="n">
        <v>49.99</v>
      </c>
      <c r="C62" s="2" t="n">
        <v>9.41</v>
      </c>
      <c r="D62" s="5" t="n">
        <v>5.31</v>
      </c>
      <c r="E62" s="2" t="n">
        <v>34.99</v>
      </c>
      <c r="F62" s="5" t="n">
        <v>3.72</v>
      </c>
    </row>
    <row r="63">
      <c r="A63" t="inlineStr">
        <is>
          <t>Harnais Chien Rose</t>
        </is>
      </c>
      <c r="B63" s="2" t="n">
        <v>49.99</v>
      </c>
      <c r="C63" s="2" t="n">
        <v>9.4</v>
      </c>
      <c r="D63" s="5" t="n">
        <v>5.32</v>
      </c>
      <c r="E63" s="2" t="n">
        <v>34.99</v>
      </c>
      <c r="F63" s="5" t="n">
        <v>3.72</v>
      </c>
    </row>
    <row r="64">
      <c r="A64" t="inlineStr">
        <is>
          <t>Harnais Chien Noir Réfléchissant</t>
        </is>
      </c>
      <c r="B64" s="2" t="n">
        <v>49.99</v>
      </c>
      <c r="C64" s="2" t="n">
        <v>10.21</v>
      </c>
      <c r="D64" s="5" t="n">
        <v>4.9</v>
      </c>
      <c r="E64" s="2" t="n">
        <v>44.99</v>
      </c>
      <c r="F64" s="5" t="n">
        <v>4.41</v>
      </c>
    </row>
    <row r="65">
      <c r="A65" t="inlineStr">
        <is>
          <t>Harnais Chien Rouge Réfléchissant</t>
        </is>
      </c>
      <c r="B65" s="2" t="n">
        <v>49.99</v>
      </c>
      <c r="C65" s="2" t="n">
        <v>10.19</v>
      </c>
      <c r="D65" s="5" t="n">
        <v>4.91</v>
      </c>
      <c r="E65" s="2" t="n">
        <v>44.99</v>
      </c>
      <c r="F65" s="5" t="n">
        <v>4.42</v>
      </c>
    </row>
    <row r="66">
      <c r="A66" t="inlineStr">
        <is>
          <t>Harnais Chien Bleu Réfléchissant</t>
        </is>
      </c>
      <c r="B66" s="2" t="n">
        <v>49.99</v>
      </c>
      <c r="C66" s="2" t="n">
        <v>10.01</v>
      </c>
      <c r="D66" s="5" t="n">
        <v>4.99</v>
      </c>
      <c r="E66" s="2" t="n">
        <v>44.99</v>
      </c>
      <c r="F66" s="5" t="n">
        <v>4.49</v>
      </c>
    </row>
    <row r="67">
      <c r="A67" t="inlineStr">
        <is>
          <t>Harnais Chien Handicapé Camouflage</t>
        </is>
      </c>
      <c r="B67" s="2" t="n">
        <v>49.99</v>
      </c>
      <c r="C67" s="2" t="n">
        <v>12.65</v>
      </c>
      <c r="D67" s="5" t="n">
        <v>3.95</v>
      </c>
      <c r="E67" s="2" t="n">
        <v>44.99</v>
      </c>
      <c r="F67" s="5" t="n">
        <v>3.56</v>
      </c>
    </row>
    <row r="68">
      <c r="A68" t="inlineStr">
        <is>
          <t>Harnais Chien Handicapé Violet</t>
        </is>
      </c>
      <c r="B68" s="2" t="n">
        <v>49.99</v>
      </c>
      <c r="C68" s="2" t="n">
        <v>12.3</v>
      </c>
      <c r="D68" s="5" t="n">
        <v>4.06</v>
      </c>
      <c r="E68" s="2" t="n">
        <v>44.99</v>
      </c>
      <c r="F68" s="5" t="n">
        <v>3.66</v>
      </c>
    </row>
    <row r="69">
      <c r="A69" t="inlineStr">
        <is>
          <t>Sangle Chien Handicapé Noire</t>
        </is>
      </c>
      <c r="B69" s="2" t="n">
        <v>49.99</v>
      </c>
      <c r="C69" s="2" t="n">
        <v>12.46</v>
      </c>
      <c r="D69" s="5" t="n">
        <v>4.01</v>
      </c>
      <c r="E69" s="2" t="n">
        <v>44.99</v>
      </c>
      <c r="F69" s="5" t="n">
        <v>3.61</v>
      </c>
    </row>
    <row r="70">
      <c r="A70" t="inlineStr">
        <is>
          <t>Harnais Chien Handicapé Gris</t>
        </is>
      </c>
      <c r="B70" s="2" t="n">
        <v>49.99</v>
      </c>
      <c r="C70" s="2" t="n">
        <v>13.66</v>
      </c>
      <c r="D70" s="5" t="n">
        <v>3.66</v>
      </c>
      <c r="E70" s="2" t="n">
        <v>44.99</v>
      </c>
      <c r="F70" s="5" t="n">
        <v>3.29</v>
      </c>
    </row>
    <row r="71">
      <c r="A71" t="inlineStr">
        <is>
          <t>Harnais Chien Handicapé Bleu Renforcé</t>
        </is>
      </c>
      <c r="B71" s="2" t="n">
        <v>49.99</v>
      </c>
      <c r="C71" s="2" t="n">
        <v>13.69</v>
      </c>
      <c r="D71" s="5" t="n">
        <v>3.65</v>
      </c>
      <c r="E71" s="2" t="n">
        <v>44.99</v>
      </c>
      <c r="F71" s="5" t="n">
        <v>3.29</v>
      </c>
    </row>
    <row r="72">
      <c r="A72" t="inlineStr">
        <is>
          <t>Harnais Chien Handicapé Rose</t>
        </is>
      </c>
      <c r="B72" s="2" t="n">
        <v>49.99</v>
      </c>
      <c r="C72" s="2" t="n">
        <v>12.29</v>
      </c>
      <c r="D72" s="5" t="n">
        <v>4.07</v>
      </c>
      <c r="E72" s="2" t="n">
        <v>44.99</v>
      </c>
      <c r="F72" s="5" t="n">
        <v>3.66</v>
      </c>
    </row>
    <row r="73">
      <c r="A73" t="inlineStr">
        <is>
          <t>Harnais Chien Handicapé Bleu</t>
        </is>
      </c>
      <c r="B73" s="2" t="n">
        <v>49.99</v>
      </c>
      <c r="C73" s="2" t="n">
        <v>12.58</v>
      </c>
      <c r="D73" s="5" t="n">
        <v>3.97</v>
      </c>
      <c r="E73" s="2" t="n">
        <v>44.99</v>
      </c>
      <c r="F73" s="5" t="n">
        <v>3.58</v>
      </c>
    </row>
    <row r="74">
      <c r="A74" t="inlineStr">
        <is>
          <t>Harnais Chien Handicapé Noir</t>
        </is>
      </c>
      <c r="B74" s="2" t="n">
        <v>49.99</v>
      </c>
      <c r="C74" s="2" t="n">
        <v>12.62</v>
      </c>
      <c r="D74" s="5" t="n">
        <v>3.96</v>
      </c>
      <c r="E74" s="2" t="n">
        <v>44.99</v>
      </c>
      <c r="F74" s="5" t="n">
        <v>3.56</v>
      </c>
    </row>
    <row r="75">
      <c r="A75" t="inlineStr">
        <is>
          <t>Harnais 3 Points Tactique</t>
        </is>
      </c>
      <c r="B75" s="2" t="n">
        <v>54.99</v>
      </c>
      <c r="C75" s="2" t="n">
        <v>18.15</v>
      </c>
      <c r="D75" s="5" t="n">
        <v>3.03</v>
      </c>
      <c r="E75" s="2" t="n">
        <v>49.99</v>
      </c>
      <c r="F75" s="5" t="n">
        <v>2.75</v>
      </c>
    </row>
    <row r="76">
      <c r="A76" t="inlineStr">
        <is>
          <t>Harnais 3 Points Classique</t>
        </is>
      </c>
      <c r="B76" s="2" t="n">
        <v>54.99</v>
      </c>
      <c r="C76" s="2" t="n">
        <v>14.93</v>
      </c>
      <c r="D76" s="5" t="n">
        <v>3.68</v>
      </c>
      <c r="E76" s="2" t="n">
        <v>44.99</v>
      </c>
      <c r="F76" s="5" t="n">
        <v>3.01</v>
      </c>
    </row>
    <row r="79">
      <c r="A79" s="10" t="inlineStr">
        <is>
          <t>À GARDER (8)</t>
        </is>
      </c>
    </row>
    <row r="80">
      <c r="A80" s="11" t="inlineStr">
        <is>
          <t>Produit</t>
        </is>
      </c>
      <c r="B80" s="11" t="inlineStr">
        <is>
          <t>Prix actuel</t>
        </is>
      </c>
      <c r="C80" s="11" t="inlineStr">
        <is>
          <t>Coût de revient</t>
        </is>
      </c>
      <c r="D80" s="11" t="inlineStr">
        <is>
          <t>Coefficient actuel</t>
        </is>
      </c>
      <c r="E80" s="11" t="inlineStr">
        <is>
          <t>Prix recommandé</t>
        </is>
      </c>
      <c r="F80" s="11" t="inlineStr">
        <is>
          <t>Nouveau coef.</t>
        </is>
      </c>
    </row>
    <row r="81">
      <c r="A81" t="inlineStr">
        <is>
          <t>Harnais Chien Anti Traction Rembourré</t>
        </is>
      </c>
      <c r="B81" s="2" t="n">
        <v>44.99</v>
      </c>
      <c r="C81" s="2" t="n">
        <v>13.46</v>
      </c>
      <c r="D81" s="5" t="n">
        <v>3.34</v>
      </c>
      <c r="E81" s="2" t="n">
        <v>44.99</v>
      </c>
      <c r="F81" s="5" t="n">
        <v>3.34</v>
      </c>
    </row>
    <row r="82">
      <c r="A82" t="inlineStr">
        <is>
          <t>Harnais Tactique Chien Molle</t>
        </is>
      </c>
      <c r="B82" s="2" t="n">
        <v>59.99</v>
      </c>
      <c r="C82" s="2" t="n">
        <v>23.88</v>
      </c>
      <c r="D82" s="5" t="n">
        <v>2.51</v>
      </c>
      <c r="E82" s="2" t="n">
        <v>59.99</v>
      </c>
      <c r="F82" s="5" t="n">
        <v>2.51</v>
      </c>
    </row>
    <row r="83">
      <c r="A83" t="inlineStr">
        <is>
          <t>Harnais Chien Macaron</t>
        </is>
      </c>
      <c r="B83" s="2" t="n">
        <v>39.99</v>
      </c>
      <c r="C83" s="2" t="n">
        <v>14</v>
      </c>
      <c r="D83" s="5" t="n">
        <v>2.86</v>
      </c>
      <c r="E83" s="2" t="n">
        <v>39.99</v>
      </c>
      <c r="F83" s="5" t="n">
        <v>2.86</v>
      </c>
    </row>
    <row r="84">
      <c r="A84" t="inlineStr">
        <is>
          <t>Ceinture Chien Voiture Élastique</t>
        </is>
      </c>
      <c r="B84" s="2" t="n">
        <v>19.99</v>
      </c>
      <c r="C84" s="2" t="n">
        <v>7.58</v>
      </c>
      <c r="D84" s="5" t="n">
        <v>2.64</v>
      </c>
      <c r="E84" s="2" t="n">
        <v>19.99</v>
      </c>
      <c r="F84" s="5" t="n">
        <v>2.64</v>
      </c>
    </row>
    <row r="85">
      <c r="A85" t="inlineStr">
        <is>
          <t>Harnais Canicross Réfléchissant Jaune</t>
        </is>
      </c>
      <c r="B85" s="2" t="n">
        <v>59.99</v>
      </c>
      <c r="C85" s="2" t="n">
        <v>20.04</v>
      </c>
      <c r="D85" s="5" t="n">
        <v>2.99</v>
      </c>
      <c r="E85" s="2" t="n">
        <v>59.99</v>
      </c>
      <c r="F85" s="5" t="n">
        <v>2.99</v>
      </c>
    </row>
    <row r="86">
      <c r="A86" t="inlineStr">
        <is>
          <t>Harnais Canicross Vert</t>
        </is>
      </c>
      <c r="B86" s="2" t="n">
        <v>59.99</v>
      </c>
      <c r="C86" s="2" t="n">
        <v>20.87</v>
      </c>
      <c r="D86" s="5" t="n">
        <v>2.87</v>
      </c>
      <c r="E86" s="2" t="n">
        <v>59.99</v>
      </c>
      <c r="F86" s="5" t="n">
        <v>2.87</v>
      </c>
    </row>
    <row r="87">
      <c r="A87" t="inlineStr">
        <is>
          <t>Harnais Canicross Réfléchissant Noir</t>
        </is>
      </c>
      <c r="B87" s="2" t="n">
        <v>59.99</v>
      </c>
      <c r="C87" s="2" t="n">
        <v>19.84</v>
      </c>
      <c r="D87" s="5" t="n">
        <v>3.02</v>
      </c>
      <c r="E87" s="2" t="n">
        <v>59.99</v>
      </c>
      <c r="F87" s="5" t="n">
        <v>3.02</v>
      </c>
    </row>
    <row r="88">
      <c r="A88" t="inlineStr">
        <is>
          <t>Harnais Canicross Réfléchissant Rouge</t>
        </is>
      </c>
      <c r="B88" s="2" t="n">
        <v>59.99</v>
      </c>
      <c r="C88" s="2" t="n">
        <v>20.15</v>
      </c>
      <c r="D88" s="5" t="n">
        <v>2.98</v>
      </c>
      <c r="E88" s="2" t="n">
        <v>59.99</v>
      </c>
      <c r="F88" s="5" t="n">
        <v>2.98</v>
      </c>
    </row>
    <row r="91">
      <c r="A91" s="10" t="inlineStr">
        <is>
          <t>À AUGMENTER (6)</t>
        </is>
      </c>
    </row>
    <row r="92">
      <c r="A92" s="11" t="inlineStr">
        <is>
          <t>Produit</t>
        </is>
      </c>
      <c r="B92" s="11" t="inlineStr">
        <is>
          <t>Prix actuel</t>
        </is>
      </c>
      <c r="C92" s="11" t="inlineStr">
        <is>
          <t>Coût de revient</t>
        </is>
      </c>
      <c r="D92" s="11" t="inlineStr">
        <is>
          <t>Coefficient actuel</t>
        </is>
      </c>
      <c r="E92" s="11" t="inlineStr">
        <is>
          <t>Prix recommandé</t>
        </is>
      </c>
      <c r="F92" s="11" t="inlineStr">
        <is>
          <t>Nouveau coef.</t>
        </is>
      </c>
    </row>
    <row r="93">
      <c r="A93" t="inlineStr">
        <is>
          <t>Harnais Chien Anti Traction Renforcé</t>
        </is>
      </c>
      <c r="B93" s="2" t="n">
        <v>39.99</v>
      </c>
      <c r="C93" s="2" t="n">
        <v>12.97</v>
      </c>
      <c r="D93" s="5" t="n">
        <v>3.08</v>
      </c>
      <c r="E93" s="2" t="n">
        <v>44.99</v>
      </c>
      <c r="F93" s="5" t="n">
        <v>3.47</v>
      </c>
    </row>
    <row r="94">
      <c r="A94" t="inlineStr">
        <is>
          <t>Harnais Chien Poignée Polyvalent</t>
        </is>
      </c>
      <c r="B94" s="2" t="n">
        <v>39.99</v>
      </c>
      <c r="C94" s="2" t="n">
        <v>13.37</v>
      </c>
      <c r="D94" s="5" t="n">
        <v>2.99</v>
      </c>
      <c r="E94" s="2" t="n">
        <v>44.99</v>
      </c>
      <c r="F94" s="5" t="n">
        <v>3.36</v>
      </c>
    </row>
    <row r="95">
      <c r="A95" t="inlineStr">
        <is>
          <t>Harnais 3 Points Veste</t>
        </is>
      </c>
      <c r="B95" s="2" t="n">
        <v>54.99</v>
      </c>
      <c r="C95" s="2" t="n">
        <v>20.55</v>
      </c>
      <c r="D95" s="5" t="n">
        <v>2.68</v>
      </c>
      <c r="E95" s="2" t="n">
        <v>59.99</v>
      </c>
      <c r="F95" s="5" t="n">
        <v>2.92</v>
      </c>
    </row>
    <row r="96">
      <c r="A96" t="inlineStr">
        <is>
          <t>Harnais 3 Points Imperméable</t>
        </is>
      </c>
      <c r="B96" s="2" t="n">
        <v>54.99</v>
      </c>
      <c r="C96" s="2" t="n">
        <v>22.1</v>
      </c>
      <c r="D96" s="5" t="n">
        <v>2.49</v>
      </c>
      <c r="E96" s="2" t="n">
        <v>59.99</v>
      </c>
      <c r="F96" s="5" t="n">
        <v>2.71</v>
      </c>
    </row>
    <row r="97">
      <c r="A97" t="inlineStr">
        <is>
          <t>Attache Chien Voiture Appuie-Tête</t>
        </is>
      </c>
      <c r="B97" s="2" t="n">
        <v>19.99</v>
      </c>
      <c r="C97" s="2" t="n">
        <v>8.68</v>
      </c>
      <c r="D97" s="5" t="n">
        <v>2.3</v>
      </c>
      <c r="E97" s="2" t="n">
        <v>24.99</v>
      </c>
      <c r="F97" s="5" t="n">
        <v>2.88</v>
      </c>
    </row>
    <row r="98">
      <c r="A98" t="inlineStr">
        <is>
          <t>Ceinture Chien Voiture 2 en 1</t>
        </is>
      </c>
      <c r="B98" s="2" t="n">
        <v>19.99</v>
      </c>
      <c r="C98" s="2" t="n">
        <v>9.82</v>
      </c>
      <c r="D98" s="5" t="n">
        <v>2.04</v>
      </c>
      <c r="E98" s="2" t="n">
        <v>24.99</v>
      </c>
      <c r="F98" s="5" t="n">
        <v>2.54</v>
      </c>
    </row>
    <row r="101">
      <c r="A101" s="10" t="inlineStr">
        <is>
          <t>MARGE FAIBLE — renégocier le fournisseur (10)</t>
        </is>
      </c>
    </row>
    <row r="102">
      <c r="A102" s="11" t="inlineStr">
        <is>
          <t>Produit</t>
        </is>
      </c>
      <c r="B102" s="11" t="inlineStr">
        <is>
          <t>Prix actuel</t>
        </is>
      </c>
      <c r="C102" s="11" t="inlineStr">
        <is>
          <t>Coût de revient</t>
        </is>
      </c>
      <c r="D102" s="11" t="inlineStr">
        <is>
          <t>Coefficient actuel</t>
        </is>
      </c>
      <c r="E102" s="11" t="inlineStr">
        <is>
          <t>Prix recommandé</t>
        </is>
      </c>
      <c r="F102" s="11" t="inlineStr">
        <is>
          <t>Nouveau coef.</t>
        </is>
      </c>
    </row>
    <row r="103">
      <c r="A103" t="inlineStr">
        <is>
          <t>Harnais Chien Anti Traction Sécurité</t>
        </is>
      </c>
      <c r="B103" s="2" t="n">
        <v>59.99</v>
      </c>
      <c r="C103" s="2" t="n">
        <v>26.24</v>
      </c>
      <c r="D103" s="5" t="n">
        <v>2.29</v>
      </c>
      <c r="E103" s="2" t="n">
        <v>59.99</v>
      </c>
      <c r="F103" s="5" t="n">
        <v>2.29</v>
      </c>
    </row>
    <row r="104">
      <c r="A104" t="inlineStr">
        <is>
          <t>Harnais Tactique Chien Pochettes</t>
        </is>
      </c>
      <c r="B104" s="2" t="n">
        <v>59.99</v>
      </c>
      <c r="C104" s="2" t="n">
        <v>25.37</v>
      </c>
      <c r="D104" s="5" t="n">
        <v>2.36</v>
      </c>
      <c r="E104" s="2" t="n">
        <v>59.99</v>
      </c>
      <c r="F104" s="5" t="n">
        <v>2.36</v>
      </c>
    </row>
    <row r="105">
      <c r="A105" t="inlineStr">
        <is>
          <t>Harnais Randonnée Sacoche Vert</t>
        </is>
      </c>
      <c r="B105" s="2" t="n">
        <v>59.99</v>
      </c>
      <c r="C105" s="2" t="n">
        <v>24.83</v>
      </c>
      <c r="D105" s="5" t="n">
        <v>2.42</v>
      </c>
      <c r="E105" s="2" t="n">
        <v>59.99</v>
      </c>
      <c r="F105" s="5" t="n">
        <v>2.42</v>
      </c>
    </row>
    <row r="106">
      <c r="A106" t="inlineStr">
        <is>
          <t>Harnais Randonnée Sacoche Noir</t>
        </is>
      </c>
      <c r="B106" s="2" t="n">
        <v>59.99</v>
      </c>
      <c r="C106" s="2" t="n">
        <v>24.83</v>
      </c>
      <c r="D106" s="5" t="n">
        <v>2.42</v>
      </c>
      <c r="E106" s="2" t="n">
        <v>59.99</v>
      </c>
      <c r="F106" s="5" t="n">
        <v>2.42</v>
      </c>
    </row>
    <row r="107">
      <c r="A107" t="inlineStr">
        <is>
          <t>Harnais Randonnée Sacoche Camouflage</t>
        </is>
      </c>
      <c r="B107" s="2" t="n">
        <v>59.99</v>
      </c>
      <c r="C107" s="2" t="n">
        <v>25.28</v>
      </c>
      <c r="D107" s="5" t="n">
        <v>2.37</v>
      </c>
      <c r="E107" s="2" t="n">
        <v>59.99</v>
      </c>
      <c r="F107" s="5" t="n">
        <v>2.37</v>
      </c>
    </row>
    <row r="108">
      <c r="A108" t="inlineStr">
        <is>
          <t>Harnais Randonnée Sacoche Jaune</t>
        </is>
      </c>
      <c r="B108" s="2" t="n">
        <v>59.99</v>
      </c>
      <c r="C108" s="2" t="n">
        <v>25.05</v>
      </c>
      <c r="D108" s="5" t="n">
        <v>2.39</v>
      </c>
      <c r="E108" s="2" t="n">
        <v>59.99</v>
      </c>
      <c r="F108" s="5" t="n">
        <v>2.39</v>
      </c>
    </row>
    <row r="109">
      <c r="A109" t="inlineStr">
        <is>
          <t>Harnais Randonnée Sacoche Gris</t>
        </is>
      </c>
      <c r="B109" s="2" t="n">
        <v>59.99</v>
      </c>
      <c r="C109" s="2" t="n">
        <v>24.83</v>
      </c>
      <c r="D109" s="5" t="n">
        <v>2.42</v>
      </c>
      <c r="E109" s="2" t="n">
        <v>59.99</v>
      </c>
      <c r="F109" s="5" t="n">
        <v>2.42</v>
      </c>
    </row>
    <row r="110">
      <c r="A110" t="inlineStr">
        <is>
          <t>Harnais Randonnée Sacoche Bleu</t>
        </is>
      </c>
      <c r="B110" s="2" t="n">
        <v>59.99</v>
      </c>
      <c r="C110" s="2" t="n">
        <v>24.83</v>
      </c>
      <c r="D110" s="5" t="n">
        <v>2.42</v>
      </c>
      <c r="E110" s="2" t="n">
        <v>59.99</v>
      </c>
      <c r="F110" s="5" t="n">
        <v>2.42</v>
      </c>
    </row>
    <row r="111">
      <c r="A111" t="inlineStr">
        <is>
          <t>Harnais Canicross avec Laisse</t>
        </is>
      </c>
      <c r="B111" s="2" t="n">
        <v>59.99</v>
      </c>
      <c r="C111" s="2" t="n">
        <v>25.35</v>
      </c>
      <c r="D111" s="5" t="n">
        <v>2.37</v>
      </c>
      <c r="E111" s="2" t="n">
        <v>59.99</v>
      </c>
      <c r="F111" s="5" t="n">
        <v>2.37</v>
      </c>
    </row>
    <row r="112">
      <c r="A112" t="inlineStr">
        <is>
          <t>Laisse Tactique Amortissante à Double Poignée</t>
        </is>
      </c>
      <c r="B112" s="2" t="n">
        <v>29.99</v>
      </c>
      <c r="C112" s="2" t="n">
        <v>14.66</v>
      </c>
      <c r="D112" s="5" t="n">
        <v>2.05</v>
      </c>
      <c r="E112" s="2" t="n">
        <v>29.99</v>
      </c>
      <c r="F112" s="5" t="n">
        <v>2.05</v>
      </c>
    </row>
    <row r="115">
      <c r="A115" s="10" t="inlineStr">
        <is>
          <t>À RETIRER / changer de fournisseur (5)</t>
        </is>
      </c>
    </row>
    <row r="116">
      <c r="A116" s="11" t="inlineStr">
        <is>
          <t>Produit</t>
        </is>
      </c>
      <c r="B116" s="11" t="inlineStr">
        <is>
          <t>Prix actuel</t>
        </is>
      </c>
      <c r="C116" s="11" t="inlineStr">
        <is>
          <t>Coût de revient</t>
        </is>
      </c>
      <c r="D116" s="11" t="inlineStr">
        <is>
          <t>Coefficient actuel</t>
        </is>
      </c>
      <c r="E116" s="11" t="inlineStr">
        <is>
          <t>Prix recommandé</t>
        </is>
      </c>
      <c r="F116" s="11" t="inlineStr">
        <is>
          <t>Nouveau coef.</t>
        </is>
      </c>
    </row>
    <row r="117">
      <c r="A117" t="inlineStr">
        <is>
          <t>Harnais Chien Anti Traction Ergonomique</t>
        </is>
      </c>
      <c r="B117" s="2" t="n">
        <v>79.98999999999999</v>
      </c>
      <c r="C117" s="2" t="n">
        <v>36.17</v>
      </c>
      <c r="D117" s="5" t="n">
        <v>2.21</v>
      </c>
      <c r="E117" s="2" t="n">
        <v>59.99</v>
      </c>
      <c r="F117" s="5" t="n">
        <v>1.66</v>
      </c>
    </row>
    <row r="118">
      <c r="A118" t="inlineStr">
        <is>
          <t>Harnais Chien en Cuir</t>
        </is>
      </c>
      <c r="B118" s="2" t="n">
        <v>79.98999999999999</v>
      </c>
      <c r="C118" s="2" t="n">
        <v>43.35</v>
      </c>
      <c r="D118" s="5" t="n">
        <v>1.85</v>
      </c>
      <c r="E118" s="2" t="n">
        <v>59.99</v>
      </c>
      <c r="F118" s="5" t="n">
        <v>1.38</v>
      </c>
    </row>
    <row r="119">
      <c r="A119" t="inlineStr">
        <is>
          <t>Laisse Élastique Réfléchissante Mains Libres pour Chien</t>
        </is>
      </c>
      <c r="B119" s="2" t="n">
        <v>19.99</v>
      </c>
      <c r="C119" s="2" t="n">
        <v>16.9</v>
      </c>
      <c r="D119" s="5" t="n">
        <v>1.18</v>
      </c>
      <c r="E119" s="2" t="n">
        <v>19.99</v>
      </c>
      <c r="F119" s="5" t="n">
        <v>1.18</v>
      </c>
    </row>
    <row r="120">
      <c r="A120" t="inlineStr">
        <is>
          <t>Laisse Réfléchissante Renforcée à Poignée Rembourrée</t>
        </is>
      </c>
      <c r="B120" s="2" t="n">
        <v>15.99</v>
      </c>
      <c r="C120" s="2" t="n">
        <v>13.85</v>
      </c>
      <c r="D120" s="5" t="n">
        <v>1.15</v>
      </c>
      <c r="E120" s="2" t="n">
        <v>15.99</v>
      </c>
      <c r="F120" s="5" t="n">
        <v>1.15</v>
      </c>
    </row>
    <row r="121">
      <c r="A121" t="inlineStr">
        <is>
          <t>Distributeur de Sacs à Crottes pour Chien</t>
        </is>
      </c>
      <c r="B121" s="2" t="n">
        <v>14.99</v>
      </c>
      <c r="C121" s="2" t="n">
        <v>10.35</v>
      </c>
      <c r="D121" s="5" t="n">
        <v>1.45</v>
      </c>
      <c r="E121" s="2" t="n">
        <v>14.99</v>
      </c>
      <c r="F121" s="5" t="n">
        <v>1.45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2" t="inlineStr">
        <is>
          <t>MÉTHODE ET LIMITES</t>
        </is>
      </c>
    </row>
    <row r="2">
      <c r="A2" t="inlineStr">
        <is>
          <t>1. Catalogue : lu en lecture seule via l'API Admin Shopify (produits actifs, PDF offert exclu). Aucun prix n'a été modifié.</t>
        </is>
      </c>
    </row>
    <row r="3">
      <c r="A3" t="inlineStr">
        <is>
          <t>2. Prix d'achat : l'accès à fr.aliexpress.com et à harnais-chien-expert.fr est bloqué par la politique réseau de l'environnement cloud → recherche par image impossible.</t>
        </is>
      </c>
    </row>
    <row r="4">
      <c r="A4" t="inlineStr">
        <is>
          <t xml:space="preserve">   À la place : « coût par article » de chaque variante dans Shopify (renseigné à l'import fournisseur). Variante de référence : taille M, sinon taille médiane ; médiane des coloris.</t>
        </is>
      </c>
    </row>
    <row r="5">
      <c r="A5" t="inlineStr">
        <is>
          <t xml:space="preserve">   Ces coûts ne sont PAS vérifiés : ils peuvent dater, inclure ou non la livraison. Colonne « Lien AliExpress » = lien de recherche par mots-clés à contrôler, pas une annonce validée.</t>
        </is>
      </c>
    </row>
    <row r="6">
      <c r="A6" t="inlineStr">
        <is>
          <t>3. Coût de revient = prix AliExpress + 1,99 € si &lt; 10 € + 3,60 € de taxe d'import. Coefficient = prix TTC / coût de revient.</t>
        </is>
      </c>
    </row>
    <row r="7">
      <c r="A7" t="inlineStr">
        <is>
          <t>4. Prix recommandé : palier le plus bas qui respecte coef ≥ 2,5 ET le positionnement de gamme.</t>
        </is>
      </c>
    </row>
    <row r="8">
      <c r="A8" t="inlineStr">
        <is>
          <t xml:space="preserve">   Paliers harnais : 34,99 / 39,99 / 44,99 / 49,99 / 59,99 €. Gammes : entrée (chiot, petit chien, Y basique) ≥ 34,99 ; cœur ≥ 44,99 ; tactique ≥ 39,99 ; premium (canicross, sacoche, cuir, ergonomique, sécurité) ≥ 49,99 ; plafond 59,99.</t>
        </is>
      </c>
    </row>
    <row r="9">
      <c r="A9" t="inlineStr">
        <is>
          <t xml:space="preserve">   Accessoires (laisses, ceintures, distributeur) : paliers 9,99 → 29,99 €, plafond 29,99 €.</t>
        </is>
      </c>
    </row>
    <row r="10">
      <c r="A10" t="inlineStr">
        <is>
          <t xml:space="preserve">   MARGE FAIBLE = coef 2,5 impossible sous le plafond mais ≥ 2,0 → prix au plafond, renégocier/changer de fournisseur.</t>
        </is>
      </c>
    </row>
    <row r="11">
      <c r="A11" t="inlineStr">
        <is>
          <t xml:space="preserve">   RETIRER = coef &lt; 2,0 même au plafond, ou hausse nécessaire &gt; +50 % → retirer, changer de fournisseur ou vendre en bundle.</t>
        </is>
      </c>
    </row>
    <row r="12">
      <c r="A12" t="inlineStr">
        <is>
          <t xml:space="preserve">   Les modèles déclinés par coloris (canicross réfléchissant, sacoche, Y basique, Y réfléchissant, handicapé) reçoivent le même prix.</t>
        </is>
      </c>
    </row>
    <row r="13">
      <c r="A13" t="inlineStr">
        <is>
          <t>5. Prix barré conseillé ≈ -20 %. Directive Omnibus : le prix barré doit être le prix le plus bas pratiqué dans les 30 jours précédant la réduction.</t>
        </is>
      </c>
    </row>
    <row r="14">
      <c r="A14" t="inlineStr">
        <is>
          <t xml:space="preserve">   Ne pas afficher un prix barré inventé ; en cas de baisse de prix, le prix actuel ne peut servir de référence que s'il a réellement été pratiqué.</t>
        </is>
      </c>
    </row>
    <row r="15">
      <c r="A15" t="inlineStr">
        <is>
          <t>Repères concurrents : Ruffwear Front Range ~60 € · Julius-K9 IDC dès ~24 € · Truelove 36–80 € · Rabbitgoo (Amazon) 27–41 € · Dog Copenhagen 38–50 €.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2026-10-05T09:17:30Z</dcterms:created>
  <dcterms:modified xsi:type="dcterms:W3CDTF">2026-10-05T09:17:30Z</dcterms:modified>
</cp:coreProperties>
</file>